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D:\Projects\NHOM_1_LAB211_TicketBooking\ai_logs\"/>
    </mc:Choice>
  </mc:AlternateContent>
  <xr:revisionPtr revIDLastSave="0" documentId="13_ncr:1_{A9543C24-EFCF-40DF-A3E8-0D32E826FB79}" xr6:coauthVersionLast="47" xr6:coauthVersionMax="47" xr10:uidLastSave="{00000000-0000-0000-0000-000000000000}"/>
  <bookViews>
    <workbookView xWindow="-108" yWindow="-108" windowWidth="23256" windowHeight="12456" activeTab="3" xr2:uid="{00000000-000D-0000-FFFF-FFFF00000000}"/>
  </bookViews>
  <sheets>
    <sheet name="1. Metadata &amp; Summary" sheetId="1" r:id="rId1"/>
    <sheet name="2. Detailed Audit Log" sheetId="2" r:id="rId2"/>
    <sheet name="3. Hallucination Detection" sheetId="3" r:id="rId3"/>
    <sheet name="4. Self-Assessment Checklist" sheetId="4" r:id="rId4"/>
  </sheets>
  <calcPr calcId="191029"/>
</workbook>
</file>

<file path=xl/calcChain.xml><?xml version="1.0" encoding="utf-8"?>
<calcChain xmlns="http://schemas.openxmlformats.org/spreadsheetml/2006/main">
  <c r="C12" i="1" l="1"/>
</calcChain>
</file>

<file path=xl/sharedStrings.xml><?xml version="1.0" encoding="utf-8"?>
<sst xmlns="http://schemas.openxmlformats.org/spreadsheetml/2006/main" count="310" uniqueCount="274">
  <si>
    <t>AI AUDIT LOG - METADATA &amp; SUMMARY</t>
  </si>
  <si>
    <t>STUDENT INFORMATION</t>
  </si>
  <si>
    <t>Student Name:</t>
  </si>
  <si>
    <t>Student ID:</t>
  </si>
  <si>
    <t>Course:</t>
  </si>
  <si>
    <t>Assignment:</t>
  </si>
  <si>
    <t>AI USAGE SUMMARY</t>
  </si>
  <si>
    <t>Total Prompts Used (all AI tools):</t>
  </si>
  <si>
    <t>[e.g., ~150]</t>
  </si>
  <si>
    <t>Core Prompts Logged:</t>
  </si>
  <si>
    <t>[e.g., 18]</t>
  </si>
  <si>
    <t>Selection Ratio:</t>
  </si>
  <si>
    <t>Should be 10-20%</t>
  </si>
  <si>
    <t>Hallucination Detected:</t>
  </si>
  <si>
    <t>[Count]</t>
  </si>
  <si>
    <t>AI TOOLS USED</t>
  </si>
  <si>
    <t>AI Tool</t>
  </si>
  <si>
    <t>Purpose</t>
  </si>
  <si>
    <t>Frequency</t>
  </si>
  <si>
    <t>Main Value</t>
  </si>
  <si>
    <t>ChatGPT</t>
  </si>
  <si>
    <t>Code generation, debugging</t>
  </si>
  <si>
    <t>High</t>
  </si>
  <si>
    <t>Rapid prototyping</t>
  </si>
  <si>
    <t>Claude</t>
  </si>
  <si>
    <t>Requirement analysis, design review</t>
  </si>
  <si>
    <t>Medium</t>
  </si>
  <si>
    <t>Deep reflection</t>
  </si>
  <si>
    <t>GitHub Copilot</t>
  </si>
  <si>
    <t>Auto-completion</t>
  </si>
  <si>
    <t>Speed up coding</t>
  </si>
  <si>
    <t>[Add more...]</t>
  </si>
  <si>
    <t>CORE PROMPTS DISTRIBUTION BY DTC COMPONENT</t>
  </si>
  <si>
    <t>DTC Component</t>
  </si>
  <si>
    <t>Number of Prompts</t>
  </si>
  <si>
    <t>Required (Min)</t>
  </si>
  <si>
    <t>Decomposition</t>
  </si>
  <si>
    <t>≥ 1</t>
  </si>
  <si>
    <t>Pattern Recognition</t>
  </si>
  <si>
    <t>Abstraction</t>
  </si>
  <si>
    <t>Algorithms</t>
  </si>
  <si>
    <t>DETAILED AI AUDIT LOG</t>
  </si>
  <si>
    <t>INSTRUCTIONS: Chỉ ghi CORE PROMPTS (Decision/Problem-Solving/Verification). Mỗi entry phải trả lời đầy đủ 4 câu hỏi trong Human Delta.</t>
  </si>
  <si>
    <t>Entry #</t>
  </si>
  <si>
    <t>Prompt Type</t>
  </si>
  <si>
    <t>Stage/Component</t>
  </si>
  <si>
    <t>Problem/Context</t>
  </si>
  <si>
    <t>Prompt to AI</t>
  </si>
  <si>
    <t>AI Response (Summary)</t>
  </si>
  <si>
    <t>Human Delta &amp; Reflection</t>
  </si>
  <si>
    <t>Evidence</t>
  </si>
  <si>
    <t>DECISION</t>
  </si>
  <si>
    <t>PROBLEM-SOLVING</t>
  </si>
  <si>
    <t>VERIFICATION</t>
  </si>
  <si>
    <t>HALLUCINATION DETECTION LOG (BẮT BUỘC)</t>
  </si>
  <si>
    <t>MỖI PROJECT PHẢI PHÁT HIỆN ÍT NHẤT: Lab (≥1), Assignment (≥2), Project (≥3) cases hallucination</t>
  </si>
  <si>
    <t>Entry # (from Sheet 2)</t>
  </si>
  <si>
    <t>Hallucination Type</t>
  </si>
  <si>
    <t>AI's Claim</t>
  </si>
  <si>
    <t>Reality Check</t>
  </si>
  <si>
    <t>How Detected</t>
  </si>
  <si>
    <t>Corrective Action</t>
  </si>
  <si>
    <t>Fabrication</t>
  </si>
  <si>
    <t>HALLUCINATION TYPES REFERENCE:</t>
  </si>
  <si>
    <t>Type</t>
  </si>
  <si>
    <t>Definition</t>
  </si>
  <si>
    <t>Example</t>
  </si>
  <si>
    <t>AI tạo ra thông tin không tồn tại</t>
  </si>
  <si>
    <t>Fake papers, fake APIs, fake data</t>
  </si>
  <si>
    <t>Oversimplification</t>
  </si>
  <si>
    <t>AI bỏ qua edge cases, exceptions</t>
  </si>
  <si>
    <t>Code không handle array rỗng</t>
  </si>
  <si>
    <t>Logic Error</t>
  </si>
  <si>
    <t>AI đưa kết luận sai về 'best practice'</t>
  </si>
  <si>
    <t>'XGBoost always best' → Sai</t>
  </si>
  <si>
    <t>Outdated Info</t>
  </si>
  <si>
    <t>AI dùng thông tin cũ, không còn đúng</t>
  </si>
  <si>
    <t>Old API syntax, deprecated methods</t>
  </si>
  <si>
    <t>Context Misunderstanding</t>
  </si>
  <si>
    <t>AI không hiểu đúng bối cảnh</t>
  </si>
  <si>
    <t>Không biết business constraints</t>
  </si>
  <si>
    <t>SELF-ASSESSMENT CHECKLIST (Trước khi nộp)</t>
  </si>
  <si>
    <t>Kiểm tra kỹ trước khi nộp. MỖI ENTRY phải pass ≥4/5 tiêu chí dưới đây.</t>
  </si>
  <si>
    <t>A. KIỂM TRA CHẤT LƯỢNG MỖI ENTRY (Pass ≥4/5)</t>
  </si>
  <si>
    <t>#</t>
  </si>
  <si>
    <t>Tiêu chí</t>
  </si>
  <si>
    <t>Pass?</t>
  </si>
  <si>
    <t>Note</t>
  </si>
  <si>
    <t>1</t>
  </si>
  <si>
    <t>Prompt này ảnh hưởng đến quyết định quan trọng trong project?</t>
  </si>
  <si>
    <t>☐</t>
  </si>
  <si>
    <t>2</t>
  </si>
  <si>
    <t>Nếu không có prompt này, project có thay đổi về architecture/design?</t>
  </si>
  <si>
    <t>3</t>
  </si>
  <si>
    <t>Tôi có thể giải thích lý do chọn/không chọn gợi ý của AI?</t>
  </si>
  <si>
    <t>4</t>
  </si>
  <si>
    <t>Có minh chứng cụ thể (code, metrics, comparison)?</t>
  </si>
  <si>
    <t>5</t>
  </si>
  <si>
    <t>Prompt này phản ánh tư duy phản biện, không chỉ copy AI?</t>
  </si>
  <si>
    <t>B. KIỂM TRA TỔNG THỂ LOG</t>
  </si>
  <si>
    <t>Current Value</t>
  </si>
  <si>
    <t>Số lượng entries nằm trong range (min-max)?</t>
  </si>
  <si>
    <t>Mỗi DTC component có ít nhất 1 core prompt?</t>
  </si>
  <si>
    <t>Đã phát hiện ≥ số lượng hallucination yêu cầu?</t>
  </si>
  <si>
    <t>Mỗi entry đều có Human Delta đầy đủ (4 câu hỏi)?</t>
  </si>
  <si>
    <t>Có evidence cho ≥70% entries?</t>
  </si>
  <si>
    <t>⚠️ LƯU Ý QUAN TRỌNG:</t>
  </si>
  <si>
    <t>Nếu entry KHÔNG pass ≥4/5 tiêu chí → LOẠI BỎ, không ghi vào Log</t>
  </si>
  <si>
    <t>Nếu FAIL ≥2 tiêu chí tổng thể → AI Reflection = 0 điểm (mất 30%)</t>
  </si>
  <si>
    <t>C. CHUẨN BỊ CHO ORAL VIVAS (Q&amp;A)</t>
  </si>
  <si>
    <t>Giảng viên sẽ hỏi ngẫu nhiên về 3-5 entries. Tự hỏi bản thân:</t>
  </si>
  <si>
    <t>Tôi có thể giải thích tại sao chọn approach này?</t>
  </si>
  <si>
    <t>Tôi có nhớ AI response?</t>
  </si>
  <si>
    <t>Tôi có evidence?</t>
  </si>
  <si>
    <t>[Bui Tan Phat]</t>
  </si>
  <si>
    <t>[QE200109]</t>
  </si>
  <si>
    <t>[LAB211]</t>
  </si>
  <si>
    <t xml:space="preserve"> Football Club </t>
  </si>
  <si>
    <t>Cần đánh giá Class Diagram ban đầu có đáp ứng yêu cầu LAB211 về MVC Architecture, CSV Storage và Concurrency Simulation hay không</t>
  </si>
  <si>
    <t>UML v1 vs UML v2 screenshots, updated PlantUML diagram</t>
  </si>
  <si>
    <t>Human Delta &amp; Reflection:
Critical Thinking:
Một số đề xuất của AI (ví dụ 10 module trong project nhỏ) quá phức tạp so với scope thực tế.
Contextualization:
LAB211 sử dụng CSV thay vì database nên repository layer cần đơn giản và tập trung vào file I/O.
Creative Synthesis:
Tổng hợp nhiều gợi ý thành kiến trúc MVC gồm Model, Repository, Controller và View. Thiết kế thêm Generic Repository để giảm code trùng lặp.
Decision:
Áp dụng các thành phần liên quan trực tiếp tới yêu cầu đề bài (BaseEntity, Repository, Version field), loại bỏ các thành phần không cần thiết để giữ UML dễ triển khai.</t>
  </si>
  <si>
    <t>Đề xuất thêm BaseEntity.
Đề xuất Generic CsvRepository&lt;T&gt;.
Đề xuất version field cho Seat.
Đề xuất TransactionRepository.
Đề xuất SimulatorController và SimulationResult.</t>
  </si>
  <si>
    <t>hay phan tich so do lop nay so voi cac yeu cau cua LAB211 va de xuat cac giai phap cai thien</t>
  </si>
  <si>
    <t>Chọn UML mới vì nó bao phủ đầy đủ entity trong đề bài (Stadium, Section, Match, Seat, Fan, Ticket, BookingTransaction), thể hiện rõ MVC architecture và Generic Repository giúp giảm code trùng lặp. UML cũ thiếu nhiều entity và chưa chuẩn bị cho phần concurrency simulation.</t>
  </si>
  <si>
    <t>Không cần nhớ chính xác toàn bộ response của AI. Tôi chỉ nhớ AI chỉ ra các điểm còn thiếu và gợi ý cải thiện UML. Quyết định cuối cùng được đưa ra sau khi đối chiếu với đề bài.</t>
  </si>
  <si>
    <t>UML trước khi chỉnh sửa, UML sau khi chỉnh sửa, PlantUML source, screenshot so sánh trước/sau.</t>
  </si>
  <si>
    <t>Tại sao dùng CsvRepository&lt;T&gt;?
CRUD hoạt động như thế nào?
Tại sao không viết riêng cho Seat, Fan, Ticket?</t>
  </si>
  <si>
    <t>Tại sao Seat cần version?
Enum có cần thiết không?
SimulationResult dùng để làm gì?</t>
  </si>
  <si>
    <t>No correction required</t>
  </si>
  <si>
    <t>Compared with project specification</t>
  </si>
  <si>
    <t>AI suggestions were design recommendations rather than factual claims requiring external verification</t>
  </si>
  <si>
    <t>N/A</t>
  </si>
  <si>
    <t>None detected</t>
  </si>
  <si>
    <t>Critical Thinking:
Không áp dụng ngay đề xuất của AI về version, Enum và SimulationResult, mà kiểm tra xem chúng có thực sự cần thiết cho project hay không.
Contextualization:
Đối chiếu với yêu cầu concurrent booking và quản lý trạng thái ghế trong đề bài.
Creative Synthesis:
Kết hợp giải thích của AI với UML hiện tại để đánh giá vai trò của từng thành phần và cập nhật thiết kế phù hợp.
Decision:
Giữ lại version cho optimistic locking, chuyển SeatStatus sang Enum và bổ sung SimulationResult vào UML cuối cùng.</t>
  </si>
  <si>
    <t>Screenshot chat AI.
UML trước khi chỉnh sửa.
UML sau khi chỉnh sửa.
PlantUML source code cập nhật.</t>
  </si>
  <si>
    <t>AI đề xuất sử dụng version cho optimistic locking, chuyển SeatStatus sang Enum và bổ sung SimulationResult để hỗ trợ mô phỏng concurrent booking.</t>
  </si>
  <si>
    <t>System Design – UML Class Diagram</t>
  </si>
  <si>
    <t>Concurrency Design &amp; UML Modeling</t>
  </si>
  <si>
    <t>Model Layer – Generic Repository Design</t>
  </si>
  <si>
    <t>Cần implement 1 repository dùng chung cho Fan, Seat mà không viết code trùng lặp</t>
  </si>
  <si>
    <t>"giup tao hieu va lam luon phan csvrepository generic, Model classes pass unit test, parse/serialize CSV"</t>
  </si>
  <si>
    <t>AI đề xuất dùng Generic CsvRepository&lt;T extends BaseEntity&gt; với Factory Pattern EntityFactory&lt;T&gt; để tránh type-erasure. AI implement findAll(), save(), deleteById(), saveAll()</t>
  </si>
  <si>
    <t>Critical Thinking: AI dùng Factory Pattern vì Java Generic bị type-erasure không cho gọi new T() – cần verify lý do kỹ thuật này. Contextualization: Project dùng CSV thuần túy thay vì database, nên repository layer phải tự xử lý I/O. Creative Synthesis: Kết hợp Generic + Factory + interface BaseEntity tạo pattern dùng chung cho mọi model. Decision: Chấp nhận approach này vì nó giảm code trùng lặp từ 4 repository class xuống còn 1 CsvRepository&lt;T&gt; dùng chung.</t>
  </si>
  <si>
    <t>CsvRepository.java với Factory pattern, ModelTest.java 32 tests pass</t>
  </si>
  <si>
    <t>Performance – Repository Read Performance</t>
  </si>
  <si>
    <t>Deliverable T4 yêu cầu: "Đọc file ≥10k dòng &lt; 500ms" – cần verify code hiện tại đáp ứng không</t>
  </si>
  <si>
    <t>"tuan 4, xem thu bay gio t can lam nhung gi" (xem requirement) → implement performance test</t>
  </si>
  <si>
    <t>AI implement test đo thời gian bằng System.currentTimeMillis(): đo trước/sau findAll() rồi assertTrue(elapsed &lt; 500). Kết quả: đọc 10.000 ghế mất 30ms.</t>
  </si>
  <si>
    <t>Critical Thinking: 30ms &lt;&lt; 500ms (nhanh hơn 16 lần) – có thể do file seats.csv nằm trên SSD và Java BufferedReader hiệu quả. Kết quả có thể khác trên máy yếu hơn. Contextualization: System.currentTimeMillis() đo wall-clock time, không phải CPU time thuần – kết quả có thể dao động. Creative Synthesis: Thêm System.out.println in số liệu thực tế ra terminal để không chỉ biết pass/fail mà còn thấy con số cụ thể. Decision: Chấp nhận kết quả – performance hiện tại tốt cho scale 10k dòng, đủ điều kiện deliverable.</t>
  </si>
  <si>
    <t>PerformanceTest trong RepositoryTest.java, output: "Read 10000 seats in 30ms"</t>
  </si>
  <si>
    <t>Testing Setup – JUnit 5 Configuration</t>
  </si>
  <si>
    <t xml:space="preserve">	VS Code báo "The test run did not record any output" khi chạy JUnit test với junit-platform-console-standalone</t>
  </si>
  <si>
    <t>"t muon dung junit thi ntn" / "van bi loi The test run did not record any output"</t>
  </si>
  <si>
    <t>AI lần 1 đề xuất dùng standalone JAR → thất bại. AI lần 2 đề xuất tải 6 JAR riêng lẻ (jupiter-api, jupiter-engine, platform-commons, platform-engine, platform-launcher, opentest4j) và cấu hình .classpath + .project</t>
  </si>
  <si>
    <t>Critical Thinking: HALLUCINATION DETECTED một phần – AI ban đầu tự tin rằng standalone JAR đủ cho VS Code Test Runner, nhưng thực tế VS Code cần JAR riêng lẻ. Contextualization: Đây là Java project thuần (không Maven/Gradle) – cấu hình JUnit khác với project có build tool. Creative Synthesis: Giải pháp cuối: tải 6 JAR riêng + tạo .project Eclipse-style + cấu hình java.test.config trong settings.json. Decision: Dùng bộ JAR riêng lẻ cho VS Code GUI, dùng standalone JAR cho terminal (chạy được cả 2 cách).</t>
  </si>
  <si>
    <t xml:space="preserve">	6 JAR trong lib/, .classpath, .vscode/settings.json, 32 tests pass qua terminal</t>
  </si>
  <si>
    <t>Repository Layer – findByCondition(Predicate)</t>
  </si>
  <si>
    <t>Yêu cầu deliverable T4: "Implement tìm kiếm theo điều kiện (findByCondition với Predicate)"</t>
  </si>
  <si>
    <t>"co nghia la bay gio phan cua t tuan 4 cung lam fan, seat repository, xem thu lam luon cai test doc ghi file cung nhu ben phan deliverable"</t>
  </si>
  <si>
    <t>AI đề xuất thêm method findByCondition(Predicate&lt;T&gt; condition) vào CsvRepository dùng Stream API: findAll().stream().filter(condition).collect(Collectors.toList()). Tạo ICsvRepository&lt;T&gt; interface làm hợp đồng.</t>
  </si>
  <si>
    <t>Critical Thinking: Predicate&lt;T&gt; là functional interface – cho phép truyền lambda như f -&gt; f.getEmail().endsWith("@gmail.com") mà không cần viết method riêng cho từng loại filter. Contextualization: Thay vì viết findByEmail(), findByName(), findByStatus() riêng lẻ → 1 method findByCondition() cover tất cả. Creative Synthesis: Kết hợp Predicate + Stream API tạo query API linh hoạt giống JPA Specification. Decision: Giữ nguyên approach này vì đáp ứng OCP (Open-Closed Principle) – thêm điều kiện mới không cần sửa CsvRepository.</t>
  </si>
  <si>
    <t>ICsvRepository.java, CsvRepository.java method findByCondition, test testFindByConditionGmail</t>
  </si>
  <si>
    <t>Testing – Repository CRUD Test Design</t>
  </si>
  <si>
    <t>Cần viết test CRUD cho FanRepository/SeatRepository nhưng không được làm hỏng data thật trong data/fans.csv và data/seats.csv</t>
  </si>
  <si>
    <t>"xem thu lam luon cai test doc ghi file cung nhu ben phan deliverable"</t>
  </si>
  <si>
    <t>AI đề xuất dùng File.createTempFile() tạo file tạm riêng cho mỗi test + deleteOnExit() để tự dọn. Constructor thứ 2 của FanRepository nhận String filePath để test truyền path tùy ý. Test testDataPersistence dùng 2 repository instance khác nhau trỏ cùng file để chứng minh data được persist.</t>
  </si>
  <si>
    <t>Critical Thinking: Pattern "2 repository instance trỏ cùng file" là cách duy nhất để chứng minh data ghi xuống ổ đĩa thật sự, không chỉ nằm trong RAM. Contextualization: Nếu test dùng data/fans.csv thật → mỗi lần chạy test sẽ thay đổi data production → không thể lặp lại (non-idempotent). Creative Synthesis: Thêm overloaded constructor FanRepository(String filePath) cho phép inject file path → tách biệt production code và test code mà không cần mock. Decision: Dùng temp file pattern thay vì mock vì phù hợp với level của project (không dùng Mockito), đồng thời test được cả I/O thật.</t>
  </si>
  <si>
    <t>RepositoryTest.java – testDataPersistence(), testRoundTrip(), 67 tests pass</t>
  </si>
  <si>
    <t>Chọn Generic Repository + Factory Pattern vì Java Generic bị type-erasure: không thể gọi new T() tại runtime. Factory (Fan::new) giải quyết vấn đề này mà không cần Reflection. Giảm code từ 4 repository class xuống 1 CsvRepository&lt;T&gt; dùng chung.</t>
  </si>
  <si>
    <t>Không nhớ toàn bộ, chỉ nhớ AI gợi ý Factory Pattern và giải thích lý do type-erasure. Tôi phải tự verify bằng cách thử gọi new T() → compiler error.</t>
  </si>
  <si>
    <t>CsvRepository.java với EntityFactory&lt;T&gt;, ModelTest.java 32 tests pass</t>
  </si>
  <si>
    <t>Chọn tải 6 JAR riêng lẻ thay vì standalone JAR vì VS Code Test Runner cần từng JAR riêng (jupiter-api để nhận @Test, jupiter-engine để chạy test, platform-launcher để discover). Standalone JAR chỉ dùng được qua terminal.</t>
  </si>
  <si>
    <t>Nhớ AI đề xuất standalone JAR trước (sai), sau đó mới đề xuất 6 JAR riêng. Quyết định cuối dựa trên việc tự chạy thử cả 2 cách và so sánh kết quả.</t>
  </si>
  <si>
    <t>6 JAR trong lib/, .classpath, output terminal "32 tests successful"</t>
  </si>
  <si>
    <t>Chọn Predicate&lt;T&gt; thay vì viết method riêng (findByEmail, findByStatus...) vì Predicate là functional interface – truyền lambda tùy ý mà không cần sửa repository. Áp dụng Open-Closed Principle: mở rộng behavior mà không sửa code cũ.</t>
  </si>
  <si>
    <t>Nhớ AI giải thích Stream API + filter. Tôi tự nhận ra liên hệ với OCP và functional programming sau khi đọc code.</t>
  </si>
  <si>
    <t>ICsvRepository.java method findByCondition, test testFindByConditionGmail, testFindByConditionName</t>
  </si>
  <si>
    <t>Chọn File.createTempFile() + 2 repository instance vì: (1) không làm hỏng data production, (2) test có thể lặp lại (idempotent), (3) chứng minh data thực sự persist xuống disk chứ không chỉ nằm trong RAM. Không dùng mock vì project không có Mockito.</t>
  </si>
  <si>
    <t>Nhớ AI gợi ý pattern này. Tôi tự hiểu tại sao cần 2 instance riêng biệt (repo1 save → repo2 đọc lại = chứng minh disk persistence).</t>
  </si>
  <si>
    <t>RepositoryTest.java – testDataPersistence(), testRoundTrip() với 2 FanRepository instance</t>
  </si>
  <si>
    <t>Chọn System.currentTimeMillis() vì đây là cách đơn giản nhất để đo elapsed time trong Java thuần (không cần thư viện). Thêm System.out.println để thấy con số thực tế, không chỉ pass/fail. Kết quả 30ms &lt;&lt; 500ms chứng minh BufferedReader + LineByLine parsing đủ hiệu quả.</t>
  </si>
  <si>
    <t>Nhớ AI implement test đo thời gian. Tôi tự thêm println để debug và quan sát kết quả thực tế thay vì chỉ dựa vào assert.</t>
  </si>
  <si>
    <t>Output terminal: "Read 10000 seats in 30ms", "Read 500 fans in 20ms"</t>
  </si>
  <si>
    <t>junit-platform-console-standalone đủ để VS Code Test Runner hoạt động và hiển thị kết quả trong Testing panel</t>
  </si>
  <si>
    <t>VS Code Test Runner báo "The test run did not record any output" – không hiển thị kết quả</t>
  </si>
  <si>
    <t>Chạy test trong VS Code → lỗi xuất hiện. So sánh với tài liệu VS Code Java Extension</t>
  </si>
  <si>
    <t>Tải 6 JAR riêng lẻ (jupiter-api, jupiter-engine, platform-commons, platform-engine, platform-launcher, opentest4j) + cấu hình .classpath và settings.json</t>
  </si>
  <si>
    <t>Thêm .classpath + settings.json là đủ để VS Code nhận Junit</t>
  </si>
  <si>
    <t>VS Code vẫn không hiển thị test runner panel sau khi thêm 2 file trên</t>
  </si>
  <si>
    <t>Reload project nhiều lần → vẫn lỗi. Phải thêm .project file (Eclipse descriptor) mới hoạt động</t>
  </si>
  <si>
    <t>Tạo thêm .project file để VS Code nhận đây là Eclipse Java project</t>
  </si>
  <si>
    <t>Controller Layer – BookingController (NO_LOCK baseline)</t>
  </si>
  <si>
    <t>Cần implement logic đặt vé gồm 5 bước nguyên tử: kiểm tra ghế → lưu Ticket → lưu Transaction → cập nhật Seat. Nếu bước nào fail thì phải rollback để tránh dữ liệu không nhất quán.</t>
  </si>
  <si>
    <t xml:space="preserve">"roi h toi tuan 5 va 6 roi, truoc het day la nhiem vu tuan 5 cua t, la lam phan booking controller, test booking don luong, giup t" </t>
  </si>
  <si>
    <t>AI thiết kế bookSeat() theo 5 bước tuần tự với cơ chế rollback thủ công: nếu ticketRepo.save() thành công nhưng transRepo.save() thất bại thì gọi ticketRepo.deleteById() để dọn vé vừa tạo. Tương tự nếu bước cập nhật Seat fail thì xóa cả ticket lẫn transaction. Không dùng lock, không dùng synchronized</t>
  </si>
  <si>
    <t>Critical Thinking: Rollback thủ công dùng deleteById() là giải pháp đơn giản cho đơn luồng, nhưng khi đa luồng thì 2 thread có thể cùng pass bước "kiểm tra AVAILABLE" trước khi thread nào ghi xong → race condition. AI cũng thừa nhận đây là NO_LOCK baseline, chưa phải production-ready.
Contextualization: Đây là pattern giống "optimistic approach" – không lock trước mà xử lý conflict sau. Trong database thực, đây tương đương BEGIN TRANSACTION / ROLLBACK.
Creative Synthesis: Thêm BookingResult inner class (thay vì return boolean) để trả về ticketId + transactionId + message → BookingView có thể hiển thị kết quả chi tiết hơn.
Decision: Chấp nhận NO_LOCK cho tuần 5 (đủ điều kiện test đơn luồng). Hiểu rõ giới hạn để chuẩn bị cho kịch bản đa luồng sau.</t>
  </si>
  <si>
    <t xml:space="preserve">Test Layer – ControllerTest.java (single-thread NO_LOCK) </t>
  </si>
  <si>
    <t xml:space="preserve">Cần viết test verify BookingController hoạt động đúng trong môi trường đơn luồng: test đặt thành công, test đặt ghế đã đặt, test đặt ghế không tồn tại, test hủy vé, test 2 fan đặt 2 ghế khác nhau... </t>
  </si>
  <si>
    <t>"giai thich code cua booking controller va controller test (quan trong)"</t>
  </si>
  <si>
    <t xml:space="preserve"> AI giải thích pattern test dùng @BeforeEach tạo file CSV tạm (File.createTempFile) + deleteOnExit() để mỗi test chạy trong môi trường sạch. Inject dependency qua constructor: new BookingController(seatRepo, ticketRepo, transRepo) thay vì dùng new BookingController() trỏ vào file thật. 7 test cases: bookSuccess, bookAlreadyBooked, bookNonExistentSeat, twoFansTwoDifferentSeats, sameSeatTwiceSequential, cancelTicket, fullSingleThreadFlow. </t>
  </si>
  <si>
    <t>Critical Thinking: Test quan trọng nhất là testSameSeatTwiceSequential – đặt cùng 1 ghế 2 lần liên tiếp, lần 2 phải fail. Đây là bằng chứng NO_LOCK đúng trong single-thread. Nếu test này fail → logic kiểm tra status trước khi ghi bị lỗi.
Contextualization: Dùng file tạm thay vì mock/Mockito vì project Plain Java không có thư viện mock. Đây là "integration test nhẹ" – test cả chuỗi từ Controller → Repository → File.
Creative Synthesis: Thêm assertEquals(2, ticketRepo.count()) để chứng minh không chỉ result đúng mà data cũng được persist vào file.
Decision: 7 test cases ALL PASS (74/74 tổng toàn project) – xác nhận BookingController đơn luồng hoạt động đúng</t>
  </si>
  <si>
    <t xml:space="preserve">PROBLEM-SOLVING </t>
  </si>
  <si>
    <t>Controller Layer – BookingController rollback mechanism</t>
  </si>
  <si>
    <t>Nếu ticketRepo.save() thành công nhưng sau đó seatRepo.save(BOOKED) thất bại → hệ thống có ticket tồn tại nhưng ghế vẫn AVAILABLE → data inconsistency.</t>
  </si>
  <si>
    <t xml:space="preserve"> "m xem lai thu may file csv cua t co can sua gi k, t thay k on lam"</t>
  </si>
  <si>
    <t xml:space="preserve"> AI phân tích CSV headers và đề xuất thêm cơ chế rollback: nếu bước 4 (save Transaction) fail → gọi ticketRepo.deleteById(ticketId). Nếu bước 5 (update Seat) fail → gọi cả ticketRepo.deleteById() và transRepo.deleteById()</t>
  </si>
  <si>
    <t>Critical Thinking: Rollback deleteById() chỉ an toàn nếu không có thread khác đọc data trong khoảng thời gian giữa save và rollback. Trong đơn luồng → OK. Trong đa luồng → thread B có thể đọc ticket "zombie" trước khi thread A rollback.
Contextualization: Đây là "best-effort rollback" tương tự các hệ thống legacy không có ACID transaction. Production systems dùng DB transaction (BEGIN/COMMIT/ROLLBACK) để atomic.
Creative Synthesis: Tự thêm log comment vào code giải thích từng bước rollback để dễ debug khi test.
Decision: Giữ rollback thủ công – đủ cho yêu cầu đơn luồng của bài lab.</t>
  </si>
  <si>
    <t>View Layer – BookingView.java</t>
  </si>
  <si>
    <t>Cần tạo giao diện console để user nhập thông tin đặt vé (matchId, sectionId, seatId), hiển thị xác nhận, gọi BookingController, và hiển thị kết quả. View không được tự xử lý logic nghiệp vụ.</t>
  </si>
  <si>
    <t>"day la tuan 6, neu nay t lam booking controller thi h lam booking view luon, report view va cac cai con lai"</t>
  </si>
  <si>
    <t>AI tạo BookingView.run(fanId) với 7 bước: nhập matchId → nhập sectionId → gọi seatRepo.findAvailableInSection() kiểm tra còn ghế không → liệt kê 10 ghế gợi ý qua SeatMapView.renderAvailableList() → nhập seatId → hiển thị bảng xác nhận → gọi BookingController.bookSeat() → in kết quả. Tách runCancel() để hủy vé.</t>
  </si>
  <si>
    <t>Critical Thinking: Bug ban đầu: code gọi renderAvailableList() rồi vẫn hỏi nhập seatId dù hết ghế → user có thể nhập seatId cho ghế không tồn tại. Fix: thêm guard if (availableSeats.isEmpty()) { return; } TRƯỚC khi hỏi seatId.
Contextualization: BookingView tuân đúng MVC: View chỉ nhận input và hiển thị, không tự tính giá hay tạo ID. BookingResult được trả về từ Controller mang đủ thông tin để View in ra.
Creative Synthesis: Thêm bảng xác nhận trước khi gọi Controller (bước "Xac nhan? y/n") → user không thể vô tình đặt nhầm.
Decision: 7-step booking flow – đủ dừng điểm kiểm tra và hướng dẫn user rõ ràng.</t>
  </si>
  <si>
    <t xml:space="preserve">View Layer – SeatMapView.java </t>
  </si>
  <si>
    <t>Cần trực quan hóa trạng thái ghế theo khu vực dạng ASCII map 2D, mỗi ghế hiển thị [ ] (trống), [X] (đặt), [L] (khóa).</t>
  </si>
  <si>
    <t>(Trong cùng request tuần 6 về view layer)</t>
  </si>
  <si>
    <t>AI tạo render(sectionId, sectionName): đọc tất cả Seat của section → tìm maxRow, maxCol → xây dựng String[][] grid → in từng hàng với ký hiệu tương ứng. Giới hạn 20 cột để tránh tràn màn hình. Thêm renderAvailableList() in danh sách 10 ghế trống đầu tiên để gợi ý.</t>
  </si>
  <si>
    <t>Critical Thinking: Khi section có nhiều cột (100 cột theo sections.csv) thì map bị tràn màn hình terminal → cắt ở 20 cột là hợp lý. Nhưng user sẽ không thấy được toàn bộ sơ đồ.
Contextualization: ASCII art UI phù hợp cho project console Java thuần. Nếu là web app sẽ dùng SVG hoặc canvas.
Creative Synthesis: Thêm dòng tóm tắt ở cuối "[ ] Trong: X [X] Da dat: Y [L] Khoa: Z" để user biết nhanh tình trạng khu vực.
Decision: Giữ giới hạn 20 cột cho ASCII map. Dùng renderAvailableList() để liệt kê ghế cụ thể khi user cần chọn.</t>
  </si>
  <si>
    <t xml:space="preserve">View Layer – ReportView.java </t>
  </si>
  <si>
    <t>Cần tạo giao diện báo cáo cho Admin hiển thị: tổng quan hệ thống (số vé, doanh thu, % lấp đầy), ghế theo khu vực, top 5 fan mua nhiều nhất, 10 giao dịch gần đây.</t>
  </si>
  <si>
    <t>"day la tuan 6... report view va cac cai con lai"</t>
  </si>
  <si>
    <t>AI tạo ReportView với 4 method riêng: reportOverview(), reportSeatsByStatus(), reportTopFans(), reportRecentTransactions(limit). Dùng Java Stream API: Collectors.groupingBy() để group theo khu vực và fan, summingDouble() để tính tổng doanh thu, sorted() để xếp hạng.</t>
  </si>
  <si>
    <t>Critical Thinking: ReportView ban đầu nằm trong menu Fan → bất hợp lý (fan thường không được xem doanh thu toàn hệ thống). Tự phát hiện vấn đề phân quyền và đề xuất tách Admin menu riêng.
Contextualization: Trong hệ thống thực, báo cáo doanh thu là sensitive data chỉ Admin/Manager mới thấy. Đây là RBAC (Role-Based Access Control) cơ bản.
Creative Synthesis: Tự thiết kế thêm AuthController.AuthSession với role = FAN/ADMIN, AuthView với 3 lựa chọn, AdminView chứa ReportView – hoàn toàn do mình sáng kiến, không phải AI đề xuất.
Decision: Tách hoàn toàn fan menu và admin menu. Admin login bằng password hardcode "admin123" (cho demo).</t>
  </si>
  <si>
    <t>View Layer – MainView.java + AuthController.AuthSession</t>
  </si>
  <si>
    <t>Cần tích hợp hệ thống login vào MainView: yêu cầu đăng nhập/đăng ký trước khi vào menu; sau khi login phải route đúng: FAN → fan menu, ADMIN → admin dashboard.</t>
  </si>
  <si>
    <t xml:space="preserve"> "t thay phan mua ve hay gi thi cung chi la FAN001, v t muon them chuc nang dang ki, dang nhap de co the dang nhap nhieu tai khoan thi sao" → chọn "A" (tách 2 menu) </t>
  </si>
  <si>
    <t>AI thiết kế AuthSession class chứa Role enum (FAN/ADMIN) và Fan object. AuthView.run() trả về AuthSession thay vì Fan. MainView.run() nhận currentSession, gọi currentSession.isAdmin() để route sang runFanLoop() hoặc runAdminLoop()</t>
  </si>
  <si>
    <t>Critical Thinking: handleSwitchAccount() có edge case: khi đang ở FAN loop, user switch sang ADMIN → gọi adminView.run() → xong → gọi lại authView.run() → nếu login FAN thì phải quay về fan loop. Logic phức tạp vì handleSwitchAccount() nằm trong runFanLoop() nhưng lại có thể trigger admin loop.
Contextualization: Đây là state machine đơn giản: state = {session: FAN/ADMIN}. Chuyển state bằng re-login.
Creative Synthesis: Thêm chức năng "Xem vé của tôi" vào fan menu (fan chỉ thấy vé của mình) – tính năng này do mình tự thêm sau khi nhận ra fan không có cách nào kiểm tra vé đã mua.
Decision: Giữ nguyên thiết kế 2 loop riêng biệt. Fan menu có 5 option, Admin menu có 5 option báo cáo.</t>
  </si>
  <si>
    <t xml:space="preserve"> PROBLEM-SOLVING</t>
  </si>
  <si>
    <t xml:space="preserve">View Layer – BookingView.java bug fix </t>
  </si>
  <si>
    <t>User nhập section "ST002" (sai format, phải là "ST002_S01") → app báo "[!] Khong con ghe trong!" nhưng vẫn tiếp tục hỏi nhập seatId → user có thể nhập seatId không tồn tại và BookingController vẫn chạy.</t>
  </si>
  <si>
    <t>"sao k con ghe trong ma t van dat tiep dc?" + screenshot terminal</t>
  </si>
  <si>
    <t>AI xác định nguyên nhân: renderAvailableList() chỉ in thông báo nhưng không return. Fix: thêm List&lt;Seat&gt; availableSeats = seatRepo.findAvailableInSection(sectionId); if (availableSeats.isEmpty()) { printError(...); return; } TRƯỚC khi gọi renderAvailableList().</t>
  </si>
  <si>
    <t>Critical Thinking: Bug gốc: renderAvailableList() là void method – nó in ra nhưng không có cách nào "ngăn" code tiếp theo chạy. Cần tách thành 2 bước: (1) kiểm tra có ghế không, (2) mới hiển thị.
Contextualization: Đây là lỗi "separation of concerns": method renderAvailableList() làm 2 việc (kiểm tra + hiển thị) nhưng không trả về kết quả kiểm tra cho caller.
Creative Synthesis: Sau fix, thêm hướng dẫn format đúng "Dinh dang dung: ST001_S01, ST002_S03..." ngay khi hỏi nhập sectionId để user không nhập sai.
Decision: Fix áp dụng → recompile → verify bằng cách thử nhập ST002 (không hợp lệ) → app in lỗi và return ngay, không hỏi seatId nữa</t>
  </si>
  <si>
    <t xml:space="preserve">	Incomplete Solution</t>
  </si>
  <si>
    <t>BookingController 5 bước đủ handle mọi trường hợp</t>
  </si>
  <si>
    <t>Không handle trường hợp seatRepo.findById() trả về Optional rỗng → NullPointerException</t>
  </si>
  <si>
    <t>Chạy test testBookNonExistentSeat → NullPointerException thay vì BookingResult.fail()</t>
  </si>
  <si>
    <t>Thêm if (seatOpt.isEmpty()) return BookingResult.fail("Ghe khong ton tai") trước khi gọi get()</t>
  </si>
  <si>
    <t xml:space="preserve">	Bug in generated code</t>
  </si>
  <si>
    <t xml:space="preserve">	Role Confusion</t>
  </si>
  <si>
    <t>Data Mismatch</t>
  </si>
  <si>
    <t>BookingView tự động dừng khi không còn ghế trống</t>
  </si>
  <si>
    <t>ReportView đặt trong FAN menu là hợp lý vì user cần biết thông tin hệ thống</t>
  </si>
  <si>
    <t>seats.csv đã có đủ dữ liệu cho tất cả section</t>
  </si>
  <si>
    <t>fans.csv có đúng 500 fan nên test assertEquals(500, count) là đúng</t>
  </si>
  <si>
    <t>renderAvailableList() là void, không return → flow tiếp tục hỏi seatId dù đã in "Khong con ghe trong"</t>
  </si>
  <si>
    <t>Fan không có quyền xem doanh thu toàn hệ thống của tất cả mọi người</t>
  </si>
  <si>
    <t>seats.csv chỉ có ST001 (10,000 ghế), không có ST002, ST003 → báo "Không còn ghế" dù section tồn tại</t>
  </si>
  <si>
    <t>Sau khi user tự đăng ký tài khoản qua AuthView → fans.csv có 501 fan → 3 test fail</t>
  </si>
  <si>
    <t>User test thực tế: nhập ST002 → thấy lỗi nhưng app vẫn hỏi seatId</t>
  </si>
  <si>
    <t>Tự nhận ra khi review menu</t>
  </si>
  <si>
    <t>User thử nhập ST002_S03 → "[!] Khong con ghe trong"</t>
  </si>
  <si>
    <t>Chạy test sau khi có chức năng đăng ký → JUnit báo expected: &lt;500&gt; but was: &lt;501&gt;</t>
  </si>
  <si>
    <t>Thêm guard check availableSeats.isEmpty() trước renderAvailableList, return sớm nếu hết ghế</t>
  </si>
  <si>
    <t>Tách AdminView riêng, chỉ Admin (password "admin123") mới xem được ReportView</t>
  </si>
  <si>
    <t>Viết script PowerShell tự động sinh 43,500 ghế đầy đủ cho tất cả 24 khu vực của 3 sân</t>
  </si>
  <si>
    <t>Đổi sang assertTrue(count &gt;= 500) – linh hoạt hơn khi có fan mới đăng ký</t>
  </si>
  <si>
    <t>BookingController.java – method bookSeat() với 5 bước và comment // ROLLBACK:; ControllerTest.java – 7 test methods; terminal output 74 tests successful</t>
  </si>
  <si>
    <t>ControllerTest.java – 7 @Test methods với @BeforeEach tạo file tạm; terminal output 74 tests found, 74 successful, 0 failed</t>
  </si>
  <si>
    <t>BookingController.java – đoạn code có comment // ROLLBACK step: sau mỗi bước ghi thất bại</t>
  </si>
  <si>
    <t>BookingView.java – guard check tại dòng 86-90 if (available.isEmpty()) { ... return; }; test thực tế: nhập ST002 → app in lỗi và dừng, không hỏi seatId</t>
  </si>
  <si>
    <t>SeatMapView.java – method render() với String[][] grid và renderAvailableList(); chạy app chọn [1] Xem ban do ghe → nhập ST001_S01 → in ASCII map với footer tóm tắt</t>
  </si>
  <si>
    <t>ReportView.java – 4 public methods với Stream API; AdminView.java – file mới tạo hoàn toàn; chạy app → [2] Admin login → nhập "admin123" → vào Admin Dashboard thấy báo cáo</t>
  </si>
  <si>
    <t>AuthController.java – Role enum + AuthSession class + loginAdmin(); MainView.java – runFanLoop() và runAdminLoop() tách biệt; chạy app → [1] Fan login → thấy Fan menu; [2] Admin login → thấy Admin Dashboard</t>
  </si>
  <si>
    <t>BookingView.java – guard check if (available.isEmpty()) return trước renderAvailableList; terminal: nhập "ST002" → "[!] Khong con ghe trong!" → prompt trở về menu, không hỏi seatId</t>
  </si>
  <si>
    <t>Chọn 5-step sequential + manual rollback vì CSV không có DB transaction. Rollback xóa ngược thứ tự insert (Transaction trước, Ticket sau) để tránh orphan data. NO_LOCK là baseline đơn luồng, biết rõ giới hạn khi đa luồng (race condition).</t>
  </si>
  <si>
    <t>Nhớ AI thiết kế BookingResult class. Tôi tự thêm getTicketId() và getTransactionId() vào result để View hiển thị chi tiết.</t>
  </si>
  <si>
    <t>BookingController.java – bookSeat() với 5 bước; ControllerTest.java – 7 tests; terminal 74 tests successful</t>
  </si>
  <si>
    <t>Chọn 7-step flow với guard check trước khi hỏi seatId. View delegate hoàn toàn cho Controller – không tự tính giá hay tạo ID. Phát hiện bug: renderAvailableList() là void nên flow vẫn chạy dù hết ghế → fix thêm if (isEmpty()) return trước khi hỏi seatId.</t>
  </si>
  <si>
    <t>Nhớ AI tạo flow 7 bước. Tôi phát hiện bug qua test thực tế và tự fix guard check, AI không phát hiện ra.</t>
  </si>
  <si>
    <t>BookingView.java – guard check if (available.isEmpty()) return; test thực tế nhập ST002 → app dừng ngay, không hỏi seatId</t>
  </si>
  <si>
    <t>Chọn AuthSession object (gộp role + fan info vào 1 object) thay vì trả về Fan hay String role riêng lẻ. isAdmin() rõ ràng hơn role.equals("ADMIN"). Tự phát hiện ReportView không nên nằm trong Fan menu (RBAC) → đề xuất tách Admin/Fan menu riêng. Tự thêm [3] Xem vé của tôi cho Fan sau khi nhận ra thiếu tính năng.</t>
  </si>
  <si>
    <t>Nhớ AI thiết kế AuthSession và routing. Tôi tự đề xuất tách AdminView và thêm handleViewMyTickets() – 2 tính năng này AI không gợi ý.</t>
  </si>
  <si>
    <t>AuthController.java – Role enum + AuthSession + loginAdmin(); MainView.java – runFanLoop/runAdminLoop tách biệt; chạy app [2] Admin → nhập "admin123" → vào Admin Dashboard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</si>
</sst>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9" x14ac:knownFonts="1">
    <font>
      <sz val="11"/>
      <color theme="1"/>
      <name val="Arial"/>
      <family val="2"/>
      <scheme val="minor"/>
    </font>
    <font>
      <b/>
      <sz val="16"/>
      <color rgb="FF2E75B6"/>
      <name val="Arial"/>
      <family val="2"/>
      <charset val="163"/>
    </font>
    <font>
      <b/>
      <sz val="14"/>
      <color rgb="FF2E75B6"/>
      <name val="Arial"/>
      <family val="2"/>
      <charset val="163"/>
    </font>
    <font>
      <b/>
      <sz val="11"/>
      <name val="Arial"/>
      <family val="2"/>
      <charset val="163"/>
    </font>
    <font>
      <i/>
      <sz val="9"/>
      <color rgb="FF666666"/>
      <name val="Arial"/>
      <family val="2"/>
      <charset val="163"/>
    </font>
    <font>
      <b/>
      <sz val="11"/>
      <color rgb="FFFFFFFF"/>
      <name val="Arial"/>
      <family val="2"/>
      <charset val="163"/>
    </font>
    <font>
      <i/>
      <sz val="10"/>
      <color rgb="FF666666"/>
      <name val="Arial"/>
      <family val="2"/>
      <charset val="163"/>
    </font>
    <font>
      <b/>
      <sz val="16"/>
      <color rgb="FFFF0000"/>
      <name val="Arial"/>
      <family val="2"/>
      <charset val="163"/>
    </font>
    <font>
      <b/>
      <i/>
      <sz val="10"/>
      <color rgb="FFFF0000"/>
      <name val="Arial"/>
      <family val="2"/>
      <charset val="163"/>
    </font>
    <font>
      <sz val="10"/>
      <name val="Arial"/>
      <family val="2"/>
      <charset val="163"/>
    </font>
    <font>
      <b/>
      <sz val="12"/>
      <color rgb="FFFF0000"/>
      <name val="Arial"/>
      <family val="2"/>
      <charset val="163"/>
    </font>
    <font>
      <sz val="11"/>
      <color rgb="FFFF0000"/>
      <name val="Arial"/>
      <family val="2"/>
      <charset val="163"/>
    </font>
    <font>
      <i/>
      <sz val="10"/>
      <name val="Arial"/>
      <family val="2"/>
      <charset val="163"/>
    </font>
    <font>
      <sz val="11"/>
      <color theme="8"/>
      <name val="Arial"/>
      <family val="2"/>
      <scheme val="minor"/>
    </font>
    <font>
      <b/>
      <sz val="11"/>
      <color rgb="FFFFFFFF"/>
      <name val="Arial"/>
      <family val="2"/>
      <charset val="163"/>
    </font>
    <font>
      <sz val="10"/>
      <color rgb="FF00B050"/>
      <name val="Arial"/>
      <family val="2"/>
      <charset val="163"/>
    </font>
    <font>
      <sz val="10"/>
      <color rgb="FFFF0000"/>
      <name val="Arial"/>
      <family val="2"/>
      <charset val="163"/>
    </font>
    <font>
      <sz val="11"/>
      <color theme="1"/>
      <name val="Arial"/>
      <family val="2"/>
      <charset val="163"/>
      <scheme val="minor"/>
    </font>
    <font>
      <sz val="12"/>
      <color rgb="FFFF0000"/>
      <name val="Arial"/>
      <family val="2"/>
      <scheme val="minor"/>
    </font>
  </fonts>
  <fills count="12">
    <fill>
      <patternFill patternType="none"/>
    </fill>
    <fill>
      <patternFill patternType="gray125"/>
    </fill>
    <fill>
      <patternFill patternType="solid">
        <fgColor rgb="FFFFFF00"/>
        <bgColor rgb="FFFFFF00"/>
      </patternFill>
    </fill>
    <fill>
      <patternFill patternType="solid">
        <fgColor rgb="FF2E75B6"/>
        <bgColor rgb="FF2E75B6"/>
      </patternFill>
    </fill>
    <fill>
      <patternFill patternType="solid">
        <fgColor rgb="FFF2F2F2"/>
        <bgColor rgb="FFF2F2F2"/>
      </patternFill>
    </fill>
    <fill>
      <patternFill patternType="solid">
        <fgColor theme="7" tint="0.39997558519241921"/>
        <bgColor indexed="64"/>
      </patternFill>
    </fill>
    <fill>
      <patternFill patternType="solid">
        <fgColor theme="6"/>
        <bgColor indexed="64"/>
      </patternFill>
    </fill>
    <fill>
      <patternFill patternType="solid">
        <fgColor theme="7"/>
        <bgColor indexed="64"/>
      </patternFill>
    </fill>
    <fill>
      <patternFill patternType="solid">
        <fgColor theme="3" tint="0.59999389629810485"/>
        <bgColor indexed="64"/>
      </patternFill>
    </fill>
    <fill>
      <patternFill patternType="solid">
        <fgColor theme="8" tint="0.39997558519241921"/>
        <bgColor indexed="64"/>
      </patternFill>
    </fill>
    <fill>
      <patternFill patternType="solid">
        <fgColor theme="9" tint="0.39997558519241921"/>
        <bgColor indexed="64"/>
      </patternFill>
    </fill>
    <fill>
      <patternFill patternType="solid">
        <fgColor theme="6" tint="0.39997558519241921"/>
        <bgColor indexed="64"/>
      </patternFill>
    </fill>
  </fills>
  <borders count="2">
    <border>
      <left/>
      <right/>
      <top/>
      <bottom/>
      <diagonal/>
    </border>
    <border>
      <left style="thin">
        <color rgb="FFCCCCCC"/>
      </left>
      <right style="thin">
        <color rgb="FFCCCCCC"/>
      </right>
      <top style="thin">
        <color rgb="FFCCCCCC"/>
      </top>
      <bottom style="thin">
        <color rgb="FFCCCCCC"/>
      </bottom>
      <diagonal/>
    </border>
  </borders>
  <cellStyleXfs count="1">
    <xf numFmtId="0" fontId="0" fillId="0" borderId="0"/>
  </cellStyleXfs>
  <cellXfs count="44">
    <xf numFmtId="0" fontId="0" fillId="0" borderId="0" xfId="0"/>
    <xf numFmtId="0" fontId="2" fillId="0" borderId="0" xfId="0" applyFont="1"/>
    <xf numFmtId="0" fontId="3" fillId="0" borderId="0" xfId="0" applyFont="1"/>
    <xf numFmtId="0" fontId="0" fillId="2" borderId="0" xfId="0" applyFill="1"/>
    <xf numFmtId="164" fontId="0" fillId="0" borderId="0" xfId="0" applyNumberFormat="1"/>
    <xf numFmtId="0" fontId="4" fillId="0" borderId="0" xfId="0" applyFont="1"/>
    <xf numFmtId="0" fontId="5" fillId="3" borderId="1" xfId="0" applyFont="1" applyFill="1" applyBorder="1" applyAlignment="1">
      <alignment horizontal="center" vertical="center" wrapText="1"/>
    </xf>
    <xf numFmtId="0" fontId="0" fillId="0" borderId="1" xfId="0" applyBorder="1" applyAlignment="1">
      <alignment horizontal="left" vertical="top" wrapText="1"/>
    </xf>
    <xf numFmtId="0" fontId="0" fillId="2" borderId="1" xfId="0" applyFill="1" applyBorder="1" applyAlignment="1">
      <alignment horizontal="center" vertical="center" wrapText="1"/>
    </xf>
    <xf numFmtId="0" fontId="0" fillId="0" borderId="1" xfId="0" applyBorder="1" applyAlignment="1">
      <alignment horizontal="center" vertical="center" wrapText="1"/>
    </xf>
    <xf numFmtId="0" fontId="3" fillId="4" borderId="1" xfId="0" applyFont="1" applyFill="1" applyBorder="1" applyAlignment="1">
      <alignment horizontal="left" vertical="top" wrapText="1"/>
    </xf>
    <xf numFmtId="0" fontId="5" fillId="3" borderId="1" xfId="0" applyFont="1" applyFill="1" applyBorder="1" applyAlignment="1">
      <alignment horizontal="left" vertical="top" wrapText="1"/>
    </xf>
    <xf numFmtId="0" fontId="9" fillId="0" borderId="1" xfId="0" applyFont="1" applyBorder="1" applyAlignment="1">
      <alignment horizontal="center" vertical="center" wrapText="1"/>
    </xf>
    <xf numFmtId="0" fontId="9" fillId="0" borderId="1" xfId="0" applyFont="1" applyBorder="1" applyAlignment="1">
      <alignment horizontal="left" vertical="top" wrapText="1"/>
    </xf>
    <xf numFmtId="0" fontId="10" fillId="0" borderId="0" xfId="0" applyFont="1"/>
    <xf numFmtId="0" fontId="11" fillId="0" borderId="0" xfId="0" applyFont="1"/>
    <xf numFmtId="0" fontId="12" fillId="0" borderId="0" xfId="0" applyFont="1"/>
    <xf numFmtId="0" fontId="3" fillId="4" borderId="1" xfId="0" applyFont="1" applyFill="1" applyBorder="1" applyAlignment="1">
      <alignment horizontal="center" vertical="center" wrapText="1"/>
    </xf>
    <xf numFmtId="0" fontId="13" fillId="0" borderId="1" xfId="0" applyFont="1" applyBorder="1" applyAlignment="1">
      <alignment horizontal="left" vertical="top" wrapText="1"/>
    </xf>
    <xf numFmtId="0" fontId="14" fillId="3" borderId="1" xfId="0" applyFont="1" applyFill="1" applyBorder="1" applyAlignment="1">
      <alignment horizontal="center" vertical="center" wrapText="1"/>
    </xf>
    <xf numFmtId="0" fontId="15" fillId="0" borderId="1" xfId="0" applyFont="1" applyBorder="1" applyAlignment="1">
      <alignment horizontal="center" vertical="center" wrapText="1"/>
    </xf>
    <xf numFmtId="0" fontId="16" fillId="0" borderId="1" xfId="0" applyFont="1" applyBorder="1" applyAlignment="1">
      <alignment horizontal="center" vertical="center" wrapText="1"/>
    </xf>
    <xf numFmtId="0" fontId="0" fillId="5" borderId="1" xfId="0" applyFill="1" applyBorder="1" applyAlignment="1">
      <alignment horizontal="left" vertical="top" wrapText="1"/>
    </xf>
    <xf numFmtId="0" fontId="0" fillId="6" borderId="1" xfId="0" applyFill="1" applyBorder="1" applyAlignment="1">
      <alignment horizontal="left" vertical="top" wrapText="1"/>
    </xf>
    <xf numFmtId="0" fontId="17" fillId="6" borderId="0" xfId="0" applyFont="1" applyFill="1" applyAlignment="1">
      <alignment horizontal="left" vertical="top" wrapText="1"/>
    </xf>
    <xf numFmtId="0" fontId="0" fillId="7" borderId="1" xfId="0" applyFill="1" applyBorder="1" applyAlignment="1">
      <alignment horizontal="center" vertical="center" wrapText="1"/>
    </xf>
    <xf numFmtId="0" fontId="0" fillId="7" borderId="1" xfId="0" applyFill="1" applyBorder="1" applyAlignment="1">
      <alignment horizontal="left" vertical="top" wrapText="1"/>
    </xf>
    <xf numFmtId="0" fontId="0" fillId="6" borderId="1" xfId="0" applyFill="1" applyBorder="1" applyAlignment="1">
      <alignment horizontal="center" vertical="center" wrapText="1"/>
    </xf>
    <xf numFmtId="0" fontId="0" fillId="6" borderId="0" xfId="0" applyFill="1" applyAlignment="1">
      <alignment horizontal="center" vertical="center" wrapText="1"/>
    </xf>
    <xf numFmtId="0" fontId="0" fillId="6" borderId="0" xfId="0" applyFill="1" applyAlignment="1">
      <alignment horizontal="left" vertical="top" wrapText="1"/>
    </xf>
    <xf numFmtId="0" fontId="18" fillId="8" borderId="0" xfId="0" applyFont="1" applyFill="1"/>
    <xf numFmtId="0" fontId="6" fillId="0" borderId="0" xfId="0" applyFont="1" applyAlignment="1">
      <alignment horizontal="left" vertical="top" wrapText="1"/>
    </xf>
    <xf numFmtId="0" fontId="0" fillId="0" borderId="0" xfId="0"/>
    <xf numFmtId="0" fontId="1" fillId="0" borderId="0" xfId="0" applyFont="1" applyAlignment="1">
      <alignment horizontal="center" vertical="center" wrapText="1"/>
    </xf>
    <xf numFmtId="0" fontId="8" fillId="0" borderId="0" xfId="0" applyFont="1" applyAlignment="1">
      <alignment horizontal="center" vertical="center" wrapText="1"/>
    </xf>
    <xf numFmtId="0" fontId="7" fillId="0" borderId="0" xfId="0" applyFont="1" applyAlignment="1">
      <alignment horizontal="center" vertical="center" wrapText="1"/>
    </xf>
    <xf numFmtId="0" fontId="6" fillId="0" borderId="0" xfId="0" applyFont="1" applyAlignment="1">
      <alignment horizontal="center" vertical="center" wrapText="1"/>
    </xf>
    <xf numFmtId="0" fontId="0" fillId="9" borderId="1" xfId="0" applyFill="1" applyBorder="1" applyAlignment="1">
      <alignment horizontal="left" vertical="top" wrapText="1"/>
    </xf>
    <xf numFmtId="0" fontId="0" fillId="10" borderId="1" xfId="0" applyFill="1" applyBorder="1" applyAlignment="1">
      <alignment horizontal="left" vertical="top" wrapText="1"/>
    </xf>
    <xf numFmtId="0" fontId="0" fillId="11" borderId="1" xfId="0" applyFill="1" applyBorder="1" applyAlignment="1">
      <alignment horizontal="left" vertical="top" wrapText="1"/>
    </xf>
    <xf numFmtId="0" fontId="0" fillId="10" borderId="0" xfId="0" applyFill="1" applyBorder="1" applyAlignment="1">
      <alignment horizontal="center" vertical="center" wrapText="1"/>
    </xf>
    <xf numFmtId="0" fontId="0" fillId="10" borderId="0" xfId="0" applyFill="1" applyBorder="1" applyAlignment="1">
      <alignment horizontal="left" vertical="top" wrapText="1"/>
    </xf>
    <xf numFmtId="0" fontId="0" fillId="9" borderId="0" xfId="0" applyFill="1" applyBorder="1" applyAlignment="1">
      <alignment horizontal="center" vertical="center" wrapText="1"/>
    </xf>
    <xf numFmtId="0" fontId="0" fillId="9" borderId="0" xfId="0" applyFill="1" applyBorder="1" applyAlignment="1">
      <alignment horizontal="left" vertical="top"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27"/>
  <sheetViews>
    <sheetView topLeftCell="A3" workbookViewId="0">
      <selection activeCell="F17" sqref="F17"/>
    </sheetView>
  </sheetViews>
  <sheetFormatPr defaultRowHeight="13.8" x14ac:dyDescent="0.25"/>
  <cols>
    <col min="1" max="1" width="25" customWidth="1"/>
    <col min="2" max="2" width="40" customWidth="1"/>
    <col min="3" max="3" width="15" customWidth="1"/>
    <col min="4" max="4" width="30" customWidth="1"/>
    <col min="5" max="6" width="20" customWidth="1"/>
  </cols>
  <sheetData>
    <row r="1" spans="1:6" x14ac:dyDescent="0.25">
      <c r="A1" s="33" t="s">
        <v>0</v>
      </c>
      <c r="B1" s="32"/>
      <c r="C1" s="32"/>
      <c r="D1" s="32"/>
      <c r="E1" s="32"/>
      <c r="F1" s="32"/>
    </row>
    <row r="3" spans="1:6" ht="17.399999999999999" x14ac:dyDescent="0.3">
      <c r="A3" s="1" t="s">
        <v>1</v>
      </c>
    </row>
    <row r="4" spans="1:6" ht="15" x14ac:dyDescent="0.25">
      <c r="A4" s="2" t="s">
        <v>2</v>
      </c>
      <c r="C4" s="30" t="s">
        <v>114</v>
      </c>
    </row>
    <row r="5" spans="1:6" ht="15" x14ac:dyDescent="0.25">
      <c r="A5" s="2" t="s">
        <v>3</v>
      </c>
      <c r="C5" s="30" t="s">
        <v>115</v>
      </c>
    </row>
    <row r="6" spans="1:6" ht="15" x14ac:dyDescent="0.25">
      <c r="A6" s="2" t="s">
        <v>4</v>
      </c>
      <c r="C6" s="30" t="s">
        <v>116</v>
      </c>
    </row>
    <row r="7" spans="1:6" ht="15" x14ac:dyDescent="0.25">
      <c r="A7" s="2" t="s">
        <v>5</v>
      </c>
      <c r="C7" s="30" t="s">
        <v>117</v>
      </c>
    </row>
    <row r="9" spans="1:6" ht="17.399999999999999" x14ac:dyDescent="0.3">
      <c r="A9" s="1" t="s">
        <v>6</v>
      </c>
    </row>
    <row r="10" spans="1:6" x14ac:dyDescent="0.25">
      <c r="A10" s="2" t="s">
        <v>7</v>
      </c>
      <c r="C10" t="s">
        <v>8</v>
      </c>
    </row>
    <row r="11" spans="1:6" x14ac:dyDescent="0.25">
      <c r="A11" s="2" t="s">
        <v>9</v>
      </c>
      <c r="C11" s="3" t="s">
        <v>10</v>
      </c>
    </row>
    <row r="12" spans="1:6" x14ac:dyDescent="0.25">
      <c r="A12" s="2" t="s">
        <v>11</v>
      </c>
      <c r="C12" s="4" t="e">
        <f>C11/C10</f>
        <v>#VALUE!</v>
      </c>
      <c r="E12" s="5" t="s">
        <v>12</v>
      </c>
    </row>
    <row r="13" spans="1:6" x14ac:dyDescent="0.25">
      <c r="A13" s="2" t="s">
        <v>13</v>
      </c>
      <c r="C13" s="3" t="s">
        <v>14</v>
      </c>
    </row>
    <row r="15" spans="1:6" ht="17.399999999999999" x14ac:dyDescent="0.3">
      <c r="A15" s="1" t="s">
        <v>15</v>
      </c>
    </row>
    <row r="16" spans="1:6" x14ac:dyDescent="0.25">
      <c r="A16" s="6" t="s">
        <v>16</v>
      </c>
      <c r="B16" s="6" t="s">
        <v>17</v>
      </c>
      <c r="C16" s="6" t="s">
        <v>18</v>
      </c>
      <c r="D16" s="6" t="s">
        <v>19</v>
      </c>
    </row>
    <row r="17" spans="1:4" x14ac:dyDescent="0.25">
      <c r="A17" s="7" t="s">
        <v>20</v>
      </c>
      <c r="B17" s="7" t="s">
        <v>21</v>
      </c>
      <c r="C17" s="7" t="s">
        <v>22</v>
      </c>
      <c r="D17" s="7" t="s">
        <v>23</v>
      </c>
    </row>
    <row r="18" spans="1:4" x14ac:dyDescent="0.25">
      <c r="A18" s="7" t="s">
        <v>24</v>
      </c>
      <c r="B18" s="7" t="s">
        <v>25</v>
      </c>
      <c r="C18" s="7" t="s">
        <v>26</v>
      </c>
      <c r="D18" s="7" t="s">
        <v>27</v>
      </c>
    </row>
    <row r="19" spans="1:4" x14ac:dyDescent="0.25">
      <c r="A19" s="7" t="s">
        <v>28</v>
      </c>
      <c r="B19" s="7" t="s">
        <v>29</v>
      </c>
      <c r="C19" s="7" t="s">
        <v>22</v>
      </c>
      <c r="D19" s="7" t="s">
        <v>30</v>
      </c>
    </row>
    <row r="20" spans="1:4" x14ac:dyDescent="0.25">
      <c r="A20" s="7" t="s">
        <v>31</v>
      </c>
      <c r="B20" s="7"/>
      <c r="C20" s="7"/>
      <c r="D20" s="7"/>
    </row>
    <row r="22" spans="1:4" ht="17.399999999999999" x14ac:dyDescent="0.3">
      <c r="A22" s="1" t="s">
        <v>32</v>
      </c>
    </row>
    <row r="23" spans="1:4" x14ac:dyDescent="0.25">
      <c r="A23" s="6" t="s">
        <v>33</v>
      </c>
      <c r="B23" s="6" t="s">
        <v>34</v>
      </c>
      <c r="C23" s="6" t="s">
        <v>35</v>
      </c>
    </row>
    <row r="24" spans="1:4" x14ac:dyDescent="0.25">
      <c r="A24" s="7" t="s">
        <v>36</v>
      </c>
      <c r="B24" s="8">
        <v>0</v>
      </c>
      <c r="C24" s="9" t="s">
        <v>37</v>
      </c>
    </row>
    <row r="25" spans="1:4" x14ac:dyDescent="0.25">
      <c r="A25" s="7" t="s">
        <v>38</v>
      </c>
      <c r="B25" s="8">
        <v>0</v>
      </c>
      <c r="C25" s="9" t="s">
        <v>37</v>
      </c>
    </row>
    <row r="26" spans="1:4" x14ac:dyDescent="0.25">
      <c r="A26" s="7" t="s">
        <v>39</v>
      </c>
      <c r="B26" s="8">
        <v>0</v>
      </c>
      <c r="C26" s="9" t="s">
        <v>37</v>
      </c>
    </row>
    <row r="27" spans="1:4" x14ac:dyDescent="0.25">
      <c r="A27" s="7" t="s">
        <v>40</v>
      </c>
      <c r="B27" s="8">
        <v>0</v>
      </c>
      <c r="C27" s="9" t="s">
        <v>37</v>
      </c>
    </row>
  </sheetData>
  <mergeCells count="1">
    <mergeCell ref="A1:F1"/>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26"/>
  <sheetViews>
    <sheetView zoomScale="97" zoomScaleNormal="97" workbookViewId="0">
      <selection activeCell="H21" sqref="H21"/>
    </sheetView>
  </sheetViews>
  <sheetFormatPr defaultRowHeight="13.8" x14ac:dyDescent="0.25"/>
  <cols>
    <col min="1" max="1" width="2.8984375" bestFit="1" customWidth="1"/>
    <col min="2" max="2" width="9.3984375" bestFit="1" customWidth="1"/>
    <col min="3" max="3" width="17.8984375" bestFit="1" customWidth="1"/>
    <col min="4" max="4" width="25" customWidth="1"/>
    <col min="5" max="5" width="29.8984375" bestFit="1" customWidth="1"/>
    <col min="6" max="6" width="35" customWidth="1"/>
    <col min="7" max="7" width="48.5" bestFit="1" customWidth="1"/>
    <col min="8" max="8" width="20" customWidth="1"/>
  </cols>
  <sheetData>
    <row r="1" spans="1:8" x14ac:dyDescent="0.25">
      <c r="A1" s="33" t="s">
        <v>41</v>
      </c>
      <c r="B1" s="32"/>
      <c r="C1" s="32"/>
      <c r="D1" s="32"/>
      <c r="E1" s="32"/>
      <c r="F1" s="32"/>
      <c r="G1" s="32"/>
      <c r="H1" s="32"/>
    </row>
    <row r="2" spans="1:8" ht="30" customHeight="1" x14ac:dyDescent="0.25">
      <c r="A2" s="31" t="s">
        <v>42</v>
      </c>
      <c r="B2" s="32"/>
      <c r="C2" s="32"/>
      <c r="D2" s="32"/>
      <c r="E2" s="32"/>
      <c r="F2" s="32"/>
      <c r="G2" s="32"/>
      <c r="H2" s="32"/>
    </row>
    <row r="3" spans="1:8" ht="39" customHeight="1" x14ac:dyDescent="0.25">
      <c r="A3" s="6" t="s">
        <v>43</v>
      </c>
      <c r="B3" s="6" t="s">
        <v>44</v>
      </c>
      <c r="C3" s="6" t="s">
        <v>45</v>
      </c>
      <c r="D3" s="6" t="s">
        <v>46</v>
      </c>
      <c r="E3" s="6" t="s">
        <v>47</v>
      </c>
      <c r="F3" s="6" t="s">
        <v>48</v>
      </c>
      <c r="G3" s="6" t="s">
        <v>49</v>
      </c>
      <c r="H3" s="19" t="s">
        <v>50</v>
      </c>
    </row>
    <row r="4" spans="1:8" ht="99.75" hidden="1" customHeight="1" x14ac:dyDescent="0.25">
      <c r="A4" s="18"/>
      <c r="B4" s="18"/>
      <c r="C4" s="18"/>
      <c r="D4" s="18"/>
      <c r="E4" s="18"/>
      <c r="F4" s="18"/>
      <c r="G4" s="18"/>
      <c r="H4" s="18"/>
    </row>
    <row r="5" spans="1:8" ht="99.75" hidden="1" customHeight="1" x14ac:dyDescent="0.25">
      <c r="A5" s="18"/>
      <c r="B5" s="18"/>
      <c r="C5" s="18"/>
      <c r="D5" s="18"/>
      <c r="E5" s="18"/>
      <c r="F5" s="18"/>
      <c r="G5" s="18"/>
      <c r="H5" s="18"/>
    </row>
    <row r="6" spans="1:8" ht="100.5" hidden="1" customHeight="1" x14ac:dyDescent="0.25">
      <c r="A6" s="18"/>
      <c r="B6" s="18"/>
      <c r="C6" s="18"/>
      <c r="D6" s="18"/>
      <c r="E6" s="18"/>
      <c r="F6" s="18"/>
      <c r="G6" s="18"/>
      <c r="H6" s="18"/>
    </row>
    <row r="7" spans="1:8" ht="262.2" x14ac:dyDescent="0.25">
      <c r="A7" s="22">
        <v>4</v>
      </c>
      <c r="B7" s="22" t="s">
        <v>52</v>
      </c>
      <c r="C7" s="22" t="s">
        <v>136</v>
      </c>
      <c r="D7" s="22" t="s">
        <v>118</v>
      </c>
      <c r="E7" s="22" t="s">
        <v>122</v>
      </c>
      <c r="F7" s="22" t="s">
        <v>121</v>
      </c>
      <c r="G7" s="22" t="s">
        <v>120</v>
      </c>
      <c r="H7" s="22" t="s">
        <v>119</v>
      </c>
    </row>
    <row r="8" spans="1:8" ht="234.6" x14ac:dyDescent="0.25">
      <c r="A8" s="22">
        <v>5</v>
      </c>
      <c r="B8" s="22" t="s">
        <v>53</v>
      </c>
      <c r="C8" s="22" t="s">
        <v>137</v>
      </c>
      <c r="D8" s="22" t="s">
        <v>127</v>
      </c>
      <c r="E8" s="22" t="s">
        <v>126</v>
      </c>
      <c r="F8" s="22" t="s">
        <v>135</v>
      </c>
      <c r="G8" s="22" t="s">
        <v>133</v>
      </c>
      <c r="H8" s="22" t="s">
        <v>134</v>
      </c>
    </row>
    <row r="9" spans="1:8" ht="124.2" x14ac:dyDescent="0.25">
      <c r="A9" s="23">
        <v>6</v>
      </c>
      <c r="B9" s="23" t="s">
        <v>51</v>
      </c>
      <c r="C9" s="23" t="s">
        <v>138</v>
      </c>
      <c r="D9" s="23" t="s">
        <v>139</v>
      </c>
      <c r="E9" s="23" t="s">
        <v>140</v>
      </c>
      <c r="F9" s="23" t="s">
        <v>141</v>
      </c>
      <c r="G9" s="23" t="s">
        <v>142</v>
      </c>
      <c r="H9" s="23" t="s">
        <v>143</v>
      </c>
    </row>
    <row r="10" spans="1:8" ht="138" x14ac:dyDescent="0.25">
      <c r="A10" s="23">
        <v>7</v>
      </c>
      <c r="B10" s="23" t="s">
        <v>52</v>
      </c>
      <c r="C10" s="23" t="s">
        <v>150</v>
      </c>
      <c r="D10" s="23" t="s">
        <v>151</v>
      </c>
      <c r="E10" s="23" t="s">
        <v>152</v>
      </c>
      <c r="F10" s="23" t="s">
        <v>153</v>
      </c>
      <c r="G10" s="23" t="s">
        <v>154</v>
      </c>
      <c r="H10" s="23" t="s">
        <v>155</v>
      </c>
    </row>
    <row r="11" spans="1:8" ht="138" x14ac:dyDescent="0.25">
      <c r="A11" s="23">
        <v>8</v>
      </c>
      <c r="B11" s="23" t="s">
        <v>51</v>
      </c>
      <c r="C11" s="23" t="s">
        <v>156</v>
      </c>
      <c r="D11" s="23" t="s">
        <v>157</v>
      </c>
      <c r="E11" s="23" t="s">
        <v>158</v>
      </c>
      <c r="F11" s="23" t="s">
        <v>159</v>
      </c>
      <c r="G11" s="23" t="s">
        <v>160</v>
      </c>
      <c r="H11" s="23" t="s">
        <v>161</v>
      </c>
    </row>
    <row r="12" spans="1:8" ht="151.80000000000001" x14ac:dyDescent="0.25">
      <c r="A12" s="23">
        <v>9</v>
      </c>
      <c r="B12" s="23" t="s">
        <v>52</v>
      </c>
      <c r="C12" s="23" t="s">
        <v>162</v>
      </c>
      <c r="D12" s="23" t="s">
        <v>163</v>
      </c>
      <c r="E12" s="23" t="s">
        <v>164</v>
      </c>
      <c r="F12" s="23" t="s">
        <v>165</v>
      </c>
      <c r="G12" s="24" t="s">
        <v>166</v>
      </c>
      <c r="H12" s="23" t="s">
        <v>167</v>
      </c>
    </row>
    <row r="13" spans="1:8" ht="138" x14ac:dyDescent="0.25">
      <c r="A13" s="23">
        <v>10</v>
      </c>
      <c r="B13" s="23" t="s">
        <v>53</v>
      </c>
      <c r="C13" s="23" t="s">
        <v>144</v>
      </c>
      <c r="D13" s="23" t="s">
        <v>145</v>
      </c>
      <c r="E13" s="23" t="s">
        <v>146</v>
      </c>
      <c r="F13" s="23" t="s">
        <v>147</v>
      </c>
      <c r="G13" s="23" t="s">
        <v>148</v>
      </c>
      <c r="H13" s="23" t="s">
        <v>149</v>
      </c>
    </row>
    <row r="14" spans="1:8" ht="234.6" x14ac:dyDescent="0.25">
      <c r="A14" s="37">
        <v>11</v>
      </c>
      <c r="B14" s="37" t="s">
        <v>51</v>
      </c>
      <c r="C14" s="37" t="s">
        <v>191</v>
      </c>
      <c r="D14" s="37" t="s">
        <v>192</v>
      </c>
      <c r="E14" s="37" t="s">
        <v>193</v>
      </c>
      <c r="F14" s="37" t="s">
        <v>194</v>
      </c>
      <c r="G14" s="37" t="s">
        <v>195</v>
      </c>
      <c r="H14" s="37" t="s">
        <v>257</v>
      </c>
    </row>
    <row r="15" spans="1:8" ht="193.2" x14ac:dyDescent="0.25">
      <c r="A15" s="37">
        <v>12</v>
      </c>
      <c r="B15" s="37" t="s">
        <v>53</v>
      </c>
      <c r="C15" s="37" t="s">
        <v>196</v>
      </c>
      <c r="D15" s="37" t="s">
        <v>197</v>
      </c>
      <c r="E15" s="37" t="s">
        <v>198</v>
      </c>
      <c r="F15" s="37" t="s">
        <v>199</v>
      </c>
      <c r="G15" s="37" t="s">
        <v>200</v>
      </c>
      <c r="H15" s="37" t="s">
        <v>258</v>
      </c>
    </row>
    <row r="16" spans="1:8" ht="179.4" x14ac:dyDescent="0.25">
      <c r="A16" s="37">
        <v>13</v>
      </c>
      <c r="B16" s="37" t="s">
        <v>201</v>
      </c>
      <c r="C16" s="37" t="s">
        <v>202</v>
      </c>
      <c r="D16" s="37" t="s">
        <v>203</v>
      </c>
      <c r="E16" s="37" t="s">
        <v>204</v>
      </c>
      <c r="F16" s="37" t="s">
        <v>205</v>
      </c>
      <c r="G16" s="37" t="s">
        <v>206</v>
      </c>
      <c r="H16" s="37" t="s">
        <v>259</v>
      </c>
    </row>
    <row r="17" spans="1:8" ht="193.2" x14ac:dyDescent="0.25">
      <c r="A17" s="38">
        <v>14</v>
      </c>
      <c r="B17" s="38" t="s">
        <v>51</v>
      </c>
      <c r="C17" s="38" t="s">
        <v>207</v>
      </c>
      <c r="D17" s="38" t="s">
        <v>208</v>
      </c>
      <c r="E17" s="38" t="s">
        <v>209</v>
      </c>
      <c r="F17" s="38" t="s">
        <v>210</v>
      </c>
      <c r="G17" s="38" t="s">
        <v>211</v>
      </c>
      <c r="H17" s="38" t="s">
        <v>260</v>
      </c>
    </row>
    <row r="18" spans="1:8" ht="179.4" x14ac:dyDescent="0.25">
      <c r="A18" s="38">
        <v>15</v>
      </c>
      <c r="B18" s="38" t="s">
        <v>51</v>
      </c>
      <c r="C18" s="38" t="s">
        <v>212</v>
      </c>
      <c r="D18" s="38" t="s">
        <v>213</v>
      </c>
      <c r="E18" s="38" t="s">
        <v>214</v>
      </c>
      <c r="F18" s="38" t="s">
        <v>215</v>
      </c>
      <c r="G18" s="38" t="s">
        <v>216</v>
      </c>
      <c r="H18" s="38" t="s">
        <v>261</v>
      </c>
    </row>
    <row r="19" spans="1:8" ht="193.2" x14ac:dyDescent="0.25">
      <c r="A19" s="38">
        <v>16</v>
      </c>
      <c r="B19" s="38" t="s">
        <v>51</v>
      </c>
      <c r="C19" s="38" t="s">
        <v>217</v>
      </c>
      <c r="D19" s="38" t="s">
        <v>218</v>
      </c>
      <c r="E19" s="38" t="s">
        <v>219</v>
      </c>
      <c r="F19" s="38" t="s">
        <v>220</v>
      </c>
      <c r="G19" s="38" t="s">
        <v>221</v>
      </c>
      <c r="H19" s="38" t="s">
        <v>262</v>
      </c>
    </row>
    <row r="20" spans="1:8" ht="193.2" x14ac:dyDescent="0.25">
      <c r="A20" s="38">
        <v>17</v>
      </c>
      <c r="B20" s="38" t="s">
        <v>52</v>
      </c>
      <c r="C20" s="38" t="s">
        <v>222</v>
      </c>
      <c r="D20" s="38" t="s">
        <v>223</v>
      </c>
      <c r="E20" s="38" t="s">
        <v>224</v>
      </c>
      <c r="F20" s="38" t="s">
        <v>225</v>
      </c>
      <c r="G20" s="38" t="s">
        <v>226</v>
      </c>
      <c r="H20" s="38" t="s">
        <v>263</v>
      </c>
    </row>
    <row r="21" spans="1:8" ht="179.4" x14ac:dyDescent="0.25">
      <c r="A21" s="38">
        <v>18</v>
      </c>
      <c r="B21" s="38" t="s">
        <v>227</v>
      </c>
      <c r="C21" s="38" t="s">
        <v>228</v>
      </c>
      <c r="D21" s="38" t="s">
        <v>229</v>
      </c>
      <c r="E21" s="38" t="s">
        <v>230</v>
      </c>
      <c r="F21" s="38" t="s">
        <v>231</v>
      </c>
      <c r="G21" s="38" t="s">
        <v>232</v>
      </c>
      <c r="H21" s="38" t="s">
        <v>264</v>
      </c>
    </row>
    <row r="22" spans="1:8" ht="80.099999999999994" customHeight="1" x14ac:dyDescent="0.25">
      <c r="A22" s="7"/>
      <c r="B22" s="7"/>
      <c r="C22" s="7"/>
      <c r="D22" s="7"/>
      <c r="E22" s="7"/>
      <c r="F22" s="7"/>
      <c r="G22" s="7"/>
      <c r="H22" s="7"/>
    </row>
    <row r="23" spans="1:8" ht="80.099999999999994" customHeight="1" x14ac:dyDescent="0.25">
      <c r="A23" s="7"/>
      <c r="B23" s="7"/>
      <c r="C23" s="7"/>
      <c r="D23" s="7"/>
      <c r="E23" s="7"/>
      <c r="F23" s="7"/>
      <c r="G23" s="7"/>
      <c r="H23" s="7"/>
    </row>
    <row r="24" spans="1:8" ht="80.099999999999994" customHeight="1" x14ac:dyDescent="0.25">
      <c r="A24" s="7"/>
      <c r="B24" s="7"/>
      <c r="C24" s="7"/>
      <c r="D24" s="7"/>
      <c r="E24" s="7"/>
      <c r="F24" s="7"/>
      <c r="G24" s="7"/>
      <c r="H24" s="7"/>
    </row>
    <row r="25" spans="1:8" ht="80.099999999999994" customHeight="1" x14ac:dyDescent="0.25">
      <c r="A25" s="7"/>
      <c r="B25" s="7"/>
      <c r="C25" s="7"/>
      <c r="D25" s="7"/>
      <c r="E25" s="7"/>
      <c r="F25" s="7"/>
      <c r="G25" s="7"/>
      <c r="H25" s="7"/>
    </row>
    <row r="26" spans="1:8" ht="80.099999999999994" customHeight="1" x14ac:dyDescent="0.25">
      <c r="A26" s="7"/>
      <c r="B26" s="7"/>
      <c r="C26" s="7"/>
      <c r="D26" s="7"/>
      <c r="E26" s="7"/>
      <c r="F26" s="7"/>
      <c r="G26" s="7"/>
      <c r="H26" s="7"/>
    </row>
  </sheetData>
  <mergeCells count="2">
    <mergeCell ref="A2:H2"/>
    <mergeCell ref="A1:H1"/>
  </mergeCell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36"/>
  <sheetViews>
    <sheetView topLeftCell="A2" workbookViewId="0">
      <selection activeCell="C12" sqref="C12"/>
    </sheetView>
  </sheetViews>
  <sheetFormatPr defaultRowHeight="13.8" x14ac:dyDescent="0.25"/>
  <cols>
    <col min="1" max="1" width="12" customWidth="1"/>
    <col min="2" max="2" width="22" customWidth="1"/>
    <col min="3" max="6" width="30" customWidth="1"/>
  </cols>
  <sheetData>
    <row r="1" spans="1:6" x14ac:dyDescent="0.25">
      <c r="A1" s="35" t="s">
        <v>54</v>
      </c>
      <c r="B1" s="32"/>
      <c r="C1" s="32"/>
      <c r="D1" s="32"/>
      <c r="E1" s="32"/>
      <c r="F1" s="32"/>
    </row>
    <row r="2" spans="1:6" x14ac:dyDescent="0.25">
      <c r="A2" s="34" t="s">
        <v>55</v>
      </c>
      <c r="B2" s="32"/>
      <c r="C2" s="32"/>
      <c r="D2" s="32"/>
      <c r="E2" s="32"/>
      <c r="F2" s="32"/>
    </row>
    <row r="3" spans="1:6" ht="39" customHeight="1" x14ac:dyDescent="0.25">
      <c r="A3" s="6" t="s">
        <v>56</v>
      </c>
      <c r="B3" s="6" t="s">
        <v>57</v>
      </c>
      <c r="C3" s="6" t="s">
        <v>58</v>
      </c>
      <c r="D3" s="6" t="s">
        <v>59</v>
      </c>
      <c r="E3" s="6" t="s">
        <v>60</v>
      </c>
      <c r="F3" s="6" t="s">
        <v>61</v>
      </c>
    </row>
    <row r="4" spans="1:6" ht="60" hidden="1" customHeight="1" x14ac:dyDescent="0.25">
      <c r="A4" s="7"/>
      <c r="B4" s="7"/>
      <c r="C4" s="7"/>
      <c r="D4" s="7"/>
      <c r="E4" s="7"/>
      <c r="F4" s="7"/>
    </row>
    <row r="5" spans="1:6" hidden="1" x14ac:dyDescent="0.25">
      <c r="A5" s="7"/>
      <c r="B5" s="7"/>
      <c r="C5" s="7"/>
      <c r="D5" s="7"/>
      <c r="E5" s="7"/>
      <c r="F5" s="7"/>
    </row>
    <row r="6" spans="1:6" ht="60" customHeight="1" x14ac:dyDescent="0.25">
      <c r="A6" s="22" t="s">
        <v>131</v>
      </c>
      <c r="B6" s="26" t="s">
        <v>132</v>
      </c>
      <c r="C6" s="26" t="s">
        <v>131</v>
      </c>
      <c r="D6" s="26" t="s">
        <v>130</v>
      </c>
      <c r="E6" s="26" t="s">
        <v>129</v>
      </c>
      <c r="F6" s="26" t="s">
        <v>128</v>
      </c>
    </row>
    <row r="7" spans="1:6" ht="112.5" customHeight="1" x14ac:dyDescent="0.25">
      <c r="A7" s="39">
        <v>7</v>
      </c>
      <c r="B7" s="23" t="s">
        <v>69</v>
      </c>
      <c r="C7" s="23" t="s">
        <v>183</v>
      </c>
      <c r="D7" s="23" t="s">
        <v>184</v>
      </c>
      <c r="E7" s="23" t="s">
        <v>185</v>
      </c>
      <c r="F7" s="23" t="s">
        <v>186</v>
      </c>
    </row>
    <row r="8" spans="1:6" ht="60" customHeight="1" x14ac:dyDescent="0.25">
      <c r="A8" s="39">
        <v>7</v>
      </c>
      <c r="B8" s="23" t="s">
        <v>75</v>
      </c>
      <c r="C8" s="23" t="s">
        <v>187</v>
      </c>
      <c r="D8" s="23" t="s">
        <v>188</v>
      </c>
      <c r="E8" s="23" t="s">
        <v>189</v>
      </c>
      <c r="F8" s="23" t="s">
        <v>190</v>
      </c>
    </row>
    <row r="9" spans="1:6" ht="60" customHeight="1" x14ac:dyDescent="0.25">
      <c r="A9" s="37">
        <v>11</v>
      </c>
      <c r="B9" s="37" t="s">
        <v>233</v>
      </c>
      <c r="C9" s="37" t="s">
        <v>234</v>
      </c>
      <c r="D9" s="37" t="s">
        <v>235</v>
      </c>
      <c r="E9" s="37" t="s">
        <v>236</v>
      </c>
      <c r="F9" s="37" t="s">
        <v>237</v>
      </c>
    </row>
    <row r="10" spans="1:6" ht="60" customHeight="1" x14ac:dyDescent="0.25">
      <c r="A10" s="38">
        <v>14</v>
      </c>
      <c r="B10" s="38" t="s">
        <v>238</v>
      </c>
      <c r="C10" s="38" t="s">
        <v>241</v>
      </c>
      <c r="D10" s="38" t="s">
        <v>245</v>
      </c>
      <c r="E10" s="38" t="s">
        <v>249</v>
      </c>
      <c r="F10" s="38" t="s">
        <v>253</v>
      </c>
    </row>
    <row r="11" spans="1:6" ht="60" customHeight="1" x14ac:dyDescent="0.25">
      <c r="A11" s="38">
        <v>16</v>
      </c>
      <c r="B11" s="38" t="s">
        <v>239</v>
      </c>
      <c r="C11" s="38" t="s">
        <v>242</v>
      </c>
      <c r="D11" s="38" t="s">
        <v>246</v>
      </c>
      <c r="E11" s="38" t="s">
        <v>250</v>
      </c>
      <c r="F11" s="38" t="s">
        <v>254</v>
      </c>
    </row>
    <row r="12" spans="1:6" ht="60" customHeight="1" x14ac:dyDescent="0.25">
      <c r="A12" s="38">
        <v>15</v>
      </c>
      <c r="B12" s="38" t="s">
        <v>240</v>
      </c>
      <c r="C12" s="38" t="s">
        <v>243</v>
      </c>
      <c r="D12" s="38" t="s">
        <v>247</v>
      </c>
      <c r="E12" s="38" t="s">
        <v>251</v>
      </c>
      <c r="F12" s="38" t="s">
        <v>255</v>
      </c>
    </row>
    <row r="13" spans="1:6" ht="60" customHeight="1" x14ac:dyDescent="0.25">
      <c r="A13" s="38">
        <v>17</v>
      </c>
      <c r="B13" s="38" t="s">
        <v>69</v>
      </c>
      <c r="C13" s="38" t="s">
        <v>244</v>
      </c>
      <c r="D13" s="38" t="s">
        <v>248</v>
      </c>
      <c r="E13" s="38" t="s">
        <v>252</v>
      </c>
      <c r="F13" s="38" t="s">
        <v>256</v>
      </c>
    </row>
    <row r="14" spans="1:6" ht="60" customHeight="1" x14ac:dyDescent="0.25">
      <c r="A14" s="7"/>
      <c r="B14" s="7"/>
      <c r="C14" s="7"/>
      <c r="D14" s="7"/>
      <c r="E14" s="7"/>
      <c r="F14" s="7"/>
    </row>
    <row r="15" spans="1:6" ht="60" customHeight="1" x14ac:dyDescent="0.25">
      <c r="A15" s="7"/>
      <c r="B15" s="7"/>
      <c r="C15" s="7"/>
      <c r="D15" s="7"/>
      <c r="E15" s="7"/>
      <c r="F15" s="7"/>
    </row>
    <row r="16" spans="1:6" ht="60" customHeight="1" x14ac:dyDescent="0.25">
      <c r="A16" s="7"/>
      <c r="B16" s="7"/>
      <c r="C16" s="7"/>
      <c r="D16" s="7"/>
      <c r="E16" s="7"/>
      <c r="F16" s="7"/>
    </row>
    <row r="17" spans="1:6" ht="60" customHeight="1" x14ac:dyDescent="0.25">
      <c r="A17" s="7"/>
      <c r="B17" s="7"/>
      <c r="C17" s="7"/>
      <c r="D17" s="7"/>
      <c r="E17" s="7"/>
      <c r="F17" s="7"/>
    </row>
    <row r="18" spans="1:6" ht="60" customHeight="1" x14ac:dyDescent="0.25">
      <c r="A18" s="7"/>
      <c r="B18" s="7"/>
      <c r="C18" s="7"/>
      <c r="D18" s="7"/>
      <c r="E18" s="7"/>
      <c r="F18" s="7"/>
    </row>
    <row r="19" spans="1:6" ht="60" customHeight="1" x14ac:dyDescent="0.25">
      <c r="A19" s="7"/>
      <c r="B19" s="7"/>
      <c r="C19" s="7"/>
      <c r="D19" s="7"/>
      <c r="E19" s="7"/>
      <c r="F19" s="7"/>
    </row>
    <row r="20" spans="1:6" ht="60" customHeight="1" x14ac:dyDescent="0.25">
      <c r="A20" s="7"/>
      <c r="B20" s="7"/>
      <c r="C20" s="7"/>
      <c r="D20" s="7"/>
      <c r="E20" s="7"/>
      <c r="F20" s="7"/>
    </row>
    <row r="21" spans="1:6" ht="60" customHeight="1" x14ac:dyDescent="0.25">
      <c r="A21" s="7"/>
      <c r="B21" s="7"/>
      <c r="C21" s="7"/>
      <c r="D21" s="7"/>
      <c r="E21" s="7"/>
      <c r="F21" s="7"/>
    </row>
    <row r="22" spans="1:6" ht="60" customHeight="1" x14ac:dyDescent="0.25">
      <c r="A22" s="7"/>
      <c r="B22" s="7"/>
      <c r="C22" s="7"/>
      <c r="D22" s="7"/>
      <c r="E22" s="7"/>
      <c r="F22" s="7"/>
    </row>
    <row r="23" spans="1:6" ht="60" customHeight="1" x14ac:dyDescent="0.25">
      <c r="A23" s="7"/>
      <c r="B23" s="7"/>
      <c r="C23" s="7"/>
      <c r="D23" s="7"/>
      <c r="E23" s="7"/>
      <c r="F23" s="7"/>
    </row>
    <row r="24" spans="1:6" ht="60" customHeight="1" x14ac:dyDescent="0.25">
      <c r="A24" s="7"/>
      <c r="B24" s="7"/>
      <c r="C24" s="7"/>
      <c r="D24" s="7"/>
      <c r="E24" s="7"/>
      <c r="F24" s="7"/>
    </row>
    <row r="30" spans="1:6" ht="17.399999999999999" x14ac:dyDescent="0.3">
      <c r="A30" s="1" t="s">
        <v>63</v>
      </c>
    </row>
    <row r="31" spans="1:6" x14ac:dyDescent="0.25">
      <c r="A31" s="10" t="s">
        <v>64</v>
      </c>
      <c r="B31" s="10" t="s">
        <v>65</v>
      </c>
      <c r="C31" s="10" t="s">
        <v>66</v>
      </c>
    </row>
    <row r="32" spans="1:6" ht="27.6" x14ac:dyDescent="0.25">
      <c r="A32" s="7" t="s">
        <v>62</v>
      </c>
      <c r="B32" s="7" t="s">
        <v>67</v>
      </c>
      <c r="C32" s="7" t="s">
        <v>68</v>
      </c>
    </row>
    <row r="33" spans="1:3" ht="27.6" x14ac:dyDescent="0.25">
      <c r="A33" s="7" t="s">
        <v>69</v>
      </c>
      <c r="B33" s="7" t="s">
        <v>70</v>
      </c>
      <c r="C33" s="7" t="s">
        <v>71</v>
      </c>
    </row>
    <row r="34" spans="1:3" ht="27.6" x14ac:dyDescent="0.25">
      <c r="A34" s="7" t="s">
        <v>72</v>
      </c>
      <c r="B34" s="7" t="s">
        <v>73</v>
      </c>
      <c r="C34" s="7" t="s">
        <v>74</v>
      </c>
    </row>
    <row r="35" spans="1:3" ht="27.6" x14ac:dyDescent="0.25">
      <c r="A35" s="7" t="s">
        <v>75</v>
      </c>
      <c r="B35" s="7" t="s">
        <v>76</v>
      </c>
      <c r="C35" s="7" t="s">
        <v>77</v>
      </c>
    </row>
    <row r="36" spans="1:3" ht="41.4" x14ac:dyDescent="0.25">
      <c r="A36" s="7" t="s">
        <v>78</v>
      </c>
      <c r="B36" s="7" t="s">
        <v>79</v>
      </c>
      <c r="C36" s="7" t="s">
        <v>80</v>
      </c>
    </row>
  </sheetData>
  <mergeCells count="2">
    <mergeCell ref="A2:F2"/>
    <mergeCell ref="A1:F1"/>
  </mergeCell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36"/>
  <sheetViews>
    <sheetView tabSelected="1" topLeftCell="A30" zoomScale="85" zoomScaleNormal="85" workbookViewId="0">
      <selection activeCell="K35" sqref="K35"/>
    </sheetView>
  </sheetViews>
  <sheetFormatPr defaultRowHeight="13.8" x14ac:dyDescent="0.25"/>
  <cols>
    <col min="1" max="1" width="8" customWidth="1"/>
    <col min="2" max="2" width="60" customWidth="1"/>
    <col min="3" max="3" width="20.3984375" customWidth="1"/>
    <col min="4" max="4" width="30" customWidth="1"/>
  </cols>
  <sheetData>
    <row r="1" spans="1:4" x14ac:dyDescent="0.25">
      <c r="A1" s="33" t="s">
        <v>81</v>
      </c>
      <c r="B1" s="32"/>
      <c r="C1" s="32"/>
      <c r="D1" s="32"/>
    </row>
    <row r="2" spans="1:4" x14ac:dyDescent="0.25">
      <c r="A2" s="36" t="s">
        <v>82</v>
      </c>
      <c r="B2" s="32"/>
      <c r="C2" s="32"/>
      <c r="D2" s="32"/>
    </row>
    <row r="4" spans="1:4" ht="17.399999999999999" x14ac:dyDescent="0.3">
      <c r="A4" s="1" t="s">
        <v>83</v>
      </c>
    </row>
    <row r="5" spans="1:4" x14ac:dyDescent="0.25">
      <c r="A5" s="6" t="s">
        <v>84</v>
      </c>
      <c r="B5" s="11" t="s">
        <v>85</v>
      </c>
      <c r="C5" s="6" t="s">
        <v>86</v>
      </c>
      <c r="D5" s="11" t="s">
        <v>87</v>
      </c>
    </row>
    <row r="6" spans="1:4" x14ac:dyDescent="0.25">
      <c r="A6" s="12" t="s">
        <v>88</v>
      </c>
      <c r="B6" s="13" t="s">
        <v>89</v>
      </c>
      <c r="C6" s="20" t="s">
        <v>90</v>
      </c>
      <c r="D6" s="13"/>
    </row>
    <row r="7" spans="1:4" x14ac:dyDescent="0.25">
      <c r="A7" s="12" t="s">
        <v>91</v>
      </c>
      <c r="B7" s="13" t="s">
        <v>92</v>
      </c>
      <c r="C7" s="20" t="s">
        <v>90</v>
      </c>
      <c r="D7" s="13"/>
    </row>
    <row r="8" spans="1:4" x14ac:dyDescent="0.25">
      <c r="A8" s="12" t="s">
        <v>93</v>
      </c>
      <c r="B8" s="13" t="s">
        <v>94</v>
      </c>
      <c r="C8" s="20" t="s">
        <v>90</v>
      </c>
      <c r="D8" s="13"/>
    </row>
    <row r="9" spans="1:4" x14ac:dyDescent="0.25">
      <c r="A9" s="12" t="s">
        <v>95</v>
      </c>
      <c r="B9" s="13" t="s">
        <v>96</v>
      </c>
      <c r="C9" s="20" t="s">
        <v>90</v>
      </c>
      <c r="D9" s="13"/>
    </row>
    <row r="10" spans="1:4" x14ac:dyDescent="0.25">
      <c r="A10" s="12" t="s">
        <v>97</v>
      </c>
      <c r="B10" s="13" t="s">
        <v>98</v>
      </c>
      <c r="C10" s="20" t="s">
        <v>90</v>
      </c>
      <c r="D10" s="13"/>
    </row>
    <row r="12" spans="1:4" ht="17.399999999999999" x14ac:dyDescent="0.3">
      <c r="A12" s="1" t="s">
        <v>99</v>
      </c>
    </row>
    <row r="13" spans="1:4" x14ac:dyDescent="0.25">
      <c r="A13" s="6" t="s">
        <v>84</v>
      </c>
      <c r="B13" s="11" t="s">
        <v>85</v>
      </c>
      <c r="C13" s="6" t="s">
        <v>86</v>
      </c>
      <c r="D13" s="11" t="s">
        <v>100</v>
      </c>
    </row>
    <row r="14" spans="1:4" x14ac:dyDescent="0.25">
      <c r="A14" s="12" t="s">
        <v>88</v>
      </c>
      <c r="B14" s="13" t="s">
        <v>101</v>
      </c>
      <c r="C14" s="21" t="s">
        <v>90</v>
      </c>
      <c r="D14" s="13"/>
    </row>
    <row r="15" spans="1:4" x14ac:dyDescent="0.25">
      <c r="A15" s="12" t="s">
        <v>91</v>
      </c>
      <c r="B15" s="13" t="s">
        <v>102</v>
      </c>
      <c r="C15" s="21" t="s">
        <v>90</v>
      </c>
      <c r="D15" s="13"/>
    </row>
    <row r="16" spans="1:4" x14ac:dyDescent="0.25">
      <c r="A16" s="12" t="s">
        <v>93</v>
      </c>
      <c r="B16" s="13" t="s">
        <v>103</v>
      </c>
      <c r="C16" s="21" t="s">
        <v>90</v>
      </c>
      <c r="D16" s="13"/>
    </row>
    <row r="17" spans="1:4" x14ac:dyDescent="0.25">
      <c r="A17" s="12" t="s">
        <v>95</v>
      </c>
      <c r="B17" s="13" t="s">
        <v>104</v>
      </c>
      <c r="C17" s="20" t="s">
        <v>90</v>
      </c>
      <c r="D17" s="13"/>
    </row>
    <row r="18" spans="1:4" x14ac:dyDescent="0.25">
      <c r="A18" s="12" t="s">
        <v>97</v>
      </c>
      <c r="B18" s="13" t="s">
        <v>105</v>
      </c>
      <c r="C18" s="20" t="s">
        <v>90</v>
      </c>
      <c r="D18" s="13"/>
    </row>
    <row r="20" spans="1:4" ht="15.6" x14ac:dyDescent="0.3">
      <c r="A20" s="14" t="s">
        <v>106</v>
      </c>
    </row>
    <row r="21" spans="1:4" x14ac:dyDescent="0.25">
      <c r="A21" s="15" t="s">
        <v>107</v>
      </c>
    </row>
    <row r="22" spans="1:4" x14ac:dyDescent="0.25">
      <c r="A22" s="15" t="s">
        <v>108</v>
      </c>
    </row>
    <row r="25" spans="1:4" ht="17.399999999999999" x14ac:dyDescent="0.3">
      <c r="A25" s="1" t="s">
        <v>109</v>
      </c>
    </row>
    <row r="26" spans="1:4" x14ac:dyDescent="0.25">
      <c r="A26" s="16" t="s">
        <v>110</v>
      </c>
    </row>
    <row r="27" spans="1:4" ht="27.6" x14ac:dyDescent="0.25">
      <c r="A27" s="17" t="s">
        <v>43</v>
      </c>
      <c r="B27" s="10" t="s">
        <v>111</v>
      </c>
      <c r="C27" s="10" t="s">
        <v>112</v>
      </c>
      <c r="D27" s="10" t="s">
        <v>113</v>
      </c>
    </row>
    <row r="28" spans="1:4" ht="110.4" x14ac:dyDescent="0.25">
      <c r="A28" s="25">
        <v>4</v>
      </c>
      <c r="B28" s="26" t="s">
        <v>123</v>
      </c>
      <c r="C28" s="26" t="s">
        <v>124</v>
      </c>
      <c r="D28" s="26" t="s">
        <v>125</v>
      </c>
    </row>
    <row r="29" spans="1:4" ht="96.6" x14ac:dyDescent="0.25">
      <c r="A29" s="27">
        <v>5</v>
      </c>
      <c r="B29" s="23" t="s">
        <v>168</v>
      </c>
      <c r="C29" s="23" t="s">
        <v>169</v>
      </c>
      <c r="D29" s="23" t="s">
        <v>170</v>
      </c>
    </row>
    <row r="30" spans="1:4" ht="96.6" x14ac:dyDescent="0.25">
      <c r="A30" s="27">
        <v>6</v>
      </c>
      <c r="B30" s="23" t="s">
        <v>171</v>
      </c>
      <c r="C30" s="23" t="s">
        <v>172</v>
      </c>
      <c r="D30" s="23" t="s">
        <v>173</v>
      </c>
    </row>
    <row r="31" spans="1:4" ht="82.8" x14ac:dyDescent="0.25">
      <c r="A31" s="28">
        <v>7</v>
      </c>
      <c r="B31" s="29" t="s">
        <v>174</v>
      </c>
      <c r="C31" s="29" t="s">
        <v>175</v>
      </c>
      <c r="D31" s="29" t="s">
        <v>176</v>
      </c>
    </row>
    <row r="32" spans="1:4" ht="82.8" x14ac:dyDescent="0.25">
      <c r="A32" s="28">
        <v>8</v>
      </c>
      <c r="B32" s="29" t="s">
        <v>177</v>
      </c>
      <c r="C32" s="29" t="s">
        <v>178</v>
      </c>
      <c r="D32" s="29" t="s">
        <v>179</v>
      </c>
    </row>
    <row r="33" spans="1:4" ht="82.8" x14ac:dyDescent="0.25">
      <c r="A33" s="28">
        <v>9</v>
      </c>
      <c r="B33" s="29" t="s">
        <v>180</v>
      </c>
      <c r="C33" s="29" t="s">
        <v>181</v>
      </c>
      <c r="D33" s="29" t="s">
        <v>182</v>
      </c>
    </row>
    <row r="34" spans="1:4" ht="96.6" x14ac:dyDescent="0.25">
      <c r="A34" s="42">
        <v>10</v>
      </c>
      <c r="B34" s="43" t="s">
        <v>265</v>
      </c>
      <c r="C34" s="43" t="s">
        <v>266</v>
      </c>
      <c r="D34" s="43" t="s">
        <v>267</v>
      </c>
    </row>
    <row r="35" spans="1:4" ht="69" x14ac:dyDescent="0.25">
      <c r="A35" s="40">
        <v>11</v>
      </c>
      <c r="B35" s="41" t="s">
        <v>268</v>
      </c>
      <c r="C35" s="41" t="s">
        <v>269</v>
      </c>
      <c r="D35" s="41" t="s">
        <v>270</v>
      </c>
    </row>
    <row r="36" spans="1:4" ht="96.6" x14ac:dyDescent="0.25">
      <c r="A36" s="40">
        <v>12</v>
      </c>
      <c r="B36" s="41" t="s">
        <v>271</v>
      </c>
      <c r="C36" s="41" t="s">
        <v>272</v>
      </c>
      <c r="D36" s="41" t="s">
        <v>273</v>
      </c>
    </row>
  </sheetData>
  <mergeCells count="2">
    <mergeCell ref="A1:D1"/>
    <mergeCell ref="A2:D2"/>
  </mergeCell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1. Metadata &amp; Summary</vt:lpstr>
      <vt:lpstr>2. Detailed Audit Log</vt:lpstr>
      <vt:lpstr>3. Hallucination Detection</vt:lpstr>
      <vt:lpstr>4. Self-Assessment Checklist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Phát Bùii</cp:lastModifiedBy>
  <dcterms:created xsi:type="dcterms:W3CDTF">2026-05-07T22:28:42Z</dcterms:created>
  <dcterms:modified xsi:type="dcterms:W3CDTF">2026-07-05T07:49:36Z</dcterms:modified>
</cp:coreProperties>
</file>